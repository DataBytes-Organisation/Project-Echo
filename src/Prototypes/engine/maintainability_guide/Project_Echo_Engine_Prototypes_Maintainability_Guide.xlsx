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TRO\Desktop\Semester 3\SIT764-Team Project A\"/>
    </mc:Choice>
  </mc:AlternateContent>
  <xr:revisionPtr revIDLastSave="0" documentId="13_ncr:1_{718889C3-3FFA-4ACC-A643-776008D271E6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Start Here" sheetId="1" r:id="rId1"/>
    <sheet name="Task Guide" sheetId="11" r:id="rId2"/>
    <sheet name="Directory Quick Map" sheetId="8" r:id="rId3"/>
    <sheet name="Detailed Log" sheetId="9" r:id="rId4"/>
    <sheet name="Decision Rules" sheetId="10" r:id="rId5"/>
    <sheet name="torch_impl Hub" sheetId="2" r:id="rId6"/>
    <sheet name="torch_impl Dataset" sheetId="3" r:id="rId7"/>
    <sheet name="torch_impl Model_Config" sheetId="4" r:id="rId8"/>
    <sheet name="torch_impl Validation" sheetId="5" r:id="rId9"/>
    <sheet name="torch_impl Benchmarking" sheetId="6" r:id="rId10"/>
    <sheet name="torch_impl Deployment" sheetId="7" r:id="rId11"/>
  </sheets>
  <definedNames>
    <definedName name="_xlnm._FilterDatabase" localSheetId="3" hidden="1">'Detailed Log'!$A$3:$G$49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1" l="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E9" i="8"/>
  <c r="E8" i="8"/>
  <c r="E7" i="8"/>
  <c r="E6" i="8"/>
  <c r="E5" i="8"/>
  <c r="E3" i="8"/>
  <c r="D3" i="8"/>
  <c r="B3" i="8"/>
  <c r="E5" i="7"/>
  <c r="D5" i="7"/>
  <c r="B5" i="7"/>
  <c r="E5" i="6"/>
  <c r="D5" i="6"/>
  <c r="B5" i="6"/>
  <c r="E3" i="5"/>
  <c r="D3" i="5"/>
  <c r="B3" i="5"/>
  <c r="E3" i="4"/>
  <c r="D3" i="4"/>
  <c r="B3" i="4"/>
  <c r="E3" i="3"/>
  <c r="D3" i="3"/>
  <c r="B3" i="3"/>
  <c r="B11" i="2"/>
  <c r="B10" i="2"/>
  <c r="B9" i="2"/>
  <c r="B8" i="2"/>
  <c r="B7" i="2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<sst xmlns="http://schemas.openxmlformats.org/spreadsheetml/2006/main" count="850" uniqueCount="625">
  <si>
    <t>Engine Prototypes Maintainability Guide</t>
  </si>
  <si>
    <t>What this workbook is</t>
  </si>
  <si>
    <t>A clean handover guide for src/Prototypes/engine with torch_impl treated as the current semester working area.</t>
  </si>
  <si>
    <t>How to use it</t>
  </si>
  <si>
    <t>1) Open torch_impl Hub. 2) Use the jump links. 3) Use Directory Quick Map for non-torch_impl areas. 4) Use Detailed Log only when you need justification.</t>
  </si>
  <si>
    <t>Confirmed current area</t>
  </si>
  <si>
    <t>torch_impl is the confirmed main working area this semester. The EfficientNetV2 integration work you shared belongs inside torch_impl and is reflected in the torch_impl sheets.</t>
  </si>
  <si>
    <t>Jump to section</t>
  </si>
  <si>
    <t>Link</t>
  </si>
  <si>
    <t>What you will find</t>
  </si>
  <si>
    <t>Use this when...</t>
  </si>
  <si>
    <t>torch_impl Hub</t>
  </si>
  <si>
    <t>Main entry sheet for the current working path.</t>
  </si>
  <si>
    <t>You want the shortest route into current work.</t>
  </si>
  <si>
    <t>torch_impl Dataset</t>
  </si>
  <si>
    <t>Dataset, training outputs, class mapping, preprocess config, validation data flow.</t>
  </si>
  <si>
    <t>You are tracing data/model artefacts.</t>
  </si>
  <si>
    <t>torch_impl Model &amp; Config</t>
  </si>
  <si>
    <t>Model families, config structure, train.py, helpers, model package.</t>
  </si>
  <si>
    <t>You are reviewing training or architecture.</t>
  </si>
  <si>
    <t>torch_impl Validation</t>
  </si>
  <si>
    <t>Saved-model loading, dataset validation, JSON-style validation, MQTT-style validation, TFLite validation.</t>
  </si>
  <si>
    <t>You are checking what has been proven to work.</t>
  </si>
  <si>
    <t>torch_impl Benchmarking</t>
  </si>
  <si>
    <t>Benchmarking folder contents and how it relates to the current work.</t>
  </si>
  <si>
    <t>You are doing benchmark-related work.</t>
  </si>
  <si>
    <t>torch_impl Deployment</t>
  </si>
  <si>
    <t>ONNX/TFLite conversion, engine-side inference path, Docker/MQTT validation, current blocker.</t>
  </si>
  <si>
    <t>You are tracing deployment or integration.</t>
  </si>
  <si>
    <t>Directory Quick Map</t>
  </si>
  <si>
    <t>High-level map of active, reference, legacy, and deprecated-candidate content outside torch_impl.</t>
  </si>
  <si>
    <t>You need the broader prototypes picture.</t>
  </si>
  <si>
    <t>Detailed Log</t>
  </si>
  <si>
    <t>Full row-by-row handover notes and treatment guidance.</t>
  </si>
  <si>
    <t>You need evidence or justification.</t>
  </si>
  <si>
    <t>Decision Rules</t>
  </si>
  <si>
    <t>Label definitions, confidence levels, and audit limitations.</t>
  </si>
  <si>
    <t>You want to understand how classifications were made.</t>
  </si>
  <si>
    <t>Why this matters</t>
  </si>
  <si>
    <t>torch_impl is the confirmed current semester implementation area. Treat it as the default entry point before older prototype notebooks or folders.</t>
  </si>
  <si>
    <t>Current status</t>
  </si>
  <si>
    <t>Work in progress. Inference flow is functioning through EfficientNetV2 TFLite inside Docker/MQTT path; current remaining issue is post-prediction API/database submission.</t>
  </si>
  <si>
    <t>Dataset &amp; artefacts</t>
  </si>
  <si>
    <t>Training outputs, class mapping, preprocess config, validation result files.</t>
  </si>
  <si>
    <t>_trained_models/, class_mapping.json, preprocess_config.json</t>
  </si>
  <si>
    <t>Model &amp; config</t>
  </si>
  <si>
    <t>config/, model/, train.py, helpers, packaging.</t>
  </si>
  <si>
    <t>config/config.yaml, train.py, model/</t>
  </si>
  <si>
    <t>Validation</t>
  </si>
  <si>
    <t>Saved-model test, dataset validation, JSON-style test, MQTT-style test, TFLite validation.</t>
  </si>
  <si>
    <t>validate_* scripts</t>
  </si>
  <si>
    <t>Benchmarking</t>
  </si>
  <si>
    <t>benchmarking/ folder contents and role relative to current work.</t>
  </si>
  <si>
    <t>benchmarking/README.md, benchmarking report</t>
  </si>
  <si>
    <t>Deployment &amp; integration</t>
  </si>
  <si>
    <t>ONNX export, TFLite conversion, engine-side inference, Docker and MQTT flow.</t>
  </si>
  <si>
    <t>export/convert scripts, light_echo_engine_efficientnetv2_tflite.py</t>
  </si>
  <si>
    <t>Current working flow</t>
  </si>
  <si>
    <t>1</t>
  </si>
  <si>
    <t>Training / saved model</t>
  </si>
  <si>
    <t>EfficientNetV2 trained and saved as .pt with class mapping, preprocess config, training metrics.</t>
  </si>
  <si>
    <t>Current integration document</t>
  </si>
  <si>
    <t>2</t>
  </si>
  <si>
    <t>Reusable predictor</t>
  </si>
  <si>
    <t>Reusable inference functions split out from notebook into predictor file.</t>
  </si>
  <si>
    <t>3</t>
  </si>
  <si>
    <t>Validation stack</t>
  </si>
  <si>
    <t>Single-audio, dataset, JSON-style, MQTT-style, and TFLite validation all completed.</t>
  </si>
  <si>
    <t>4</t>
  </si>
  <si>
    <t>Conversion path</t>
  </si>
  <si>
    <t>PyTorch checkpoint → ONNX → TensorFlow SavedModel → TFLite.</t>
  </si>
  <si>
    <t>5</t>
  </si>
  <si>
    <t>Engine path</t>
  </si>
  <si>
    <t>Safe copied engine file loads TFLite model and handles MQTT-style inference.</t>
  </si>
  <si>
    <t>6</t>
  </si>
  <si>
    <t>Docker + simulator</t>
  </si>
  <si>
    <t>Engine container receives real simulator MQTT audio and predicts successfully.</t>
  </si>
  <si>
    <t>7</t>
  </si>
  <si>
    <t>Current blocker</t>
  </si>
  <si>
    <t>Internal Server Error when sending post-prediction event to API/database.</t>
  </si>
  <si>
    <t>8</t>
  </si>
  <si>
    <t>Meaning for handover</t>
  </si>
  <si>
    <t>Model inference path appears working; backend submission path still needs follow-up.</t>
  </si>
  <si>
    <t>torch_impl Dataset &amp; Artefacts</t>
  </si>
  <si>
    <t>What this sheet covers</t>
  </si>
  <si>
    <t>Files and artefacts involved in saved-model inference and validation inside torch_impl.</t>
  </si>
  <si>
    <t>Jump back</t>
  </si>
  <si>
    <t>Jump to validation</t>
  </si>
  <si>
    <t>Area</t>
  </si>
  <si>
    <t>Key files / outputs</t>
  </si>
  <si>
    <t>What they do</t>
  </si>
  <si>
    <t>Current use</t>
  </si>
  <si>
    <t>Handover note</t>
  </si>
  <si>
    <t>Training outputs</t>
  </si>
  <si>
    <t>_trained_models/efficientnetv2_project_echo.pt; class_mapping.json; preprocess_config.json; training_metrics.json</t>
  </si>
  <si>
    <t>Saved model checkpoint and metadata generated by training notebook.</t>
  </si>
  <si>
    <t>Active/current</t>
  </si>
  <si>
    <t>Treat as core artefacts for inference reproducibility.</t>
  </si>
  <si>
    <t>Saved-model reload proof</t>
  </si>
  <si>
    <t>Saved model loading test</t>
  </si>
  <si>
    <t>Confirms checkpoint can be rebuilt and used outside the training notebook.</t>
  </si>
  <si>
    <t>Completed proof</t>
  </si>
  <si>
    <t>Important because it proves notebook output is reusable.</t>
  </si>
  <si>
    <t>efficientnetv2_predictor.py</t>
  </si>
  <si>
    <t>Separates inference logic from notebook into reusable functions: load model, mapping, preprocess, predict.</t>
  </si>
  <si>
    <t>Use this as the inference logic reference before touching engine path.</t>
  </si>
  <si>
    <t>Single-audio smoke test</t>
  </si>
  <si>
    <t>Acanthiza chrysorrhoa sample result</t>
  </si>
  <si>
    <t>Shows real file inference returned correct label with confidence 0.9337.</t>
  </si>
  <si>
    <t>Good sanity-check example for future debugging.</t>
  </si>
  <si>
    <t>Dataset validation outputs</t>
  </si>
  <si>
    <t>efficientnetv2_dataset_validation_results.csv</t>
  </si>
  <si>
    <t>Stores labelled dataset inference results.</t>
  </si>
  <si>
    <t>Reference/current</t>
  </si>
  <si>
    <t>Use to compare later runs or detect regressions.</t>
  </si>
  <si>
    <t>JSON-style validation output</t>
  </si>
  <si>
    <t>efficientnetv2_json_inference_result.json</t>
  </si>
  <si>
    <t>Structured response format before full MQTT integration.</t>
  </si>
  <si>
    <t>Useful for API-style payload expectations.</t>
  </si>
  <si>
    <t>MQTT-style validation output</t>
  </si>
  <si>
    <t>efficientnetv2_mqtt_message_handler_result.json</t>
  </si>
  <si>
    <t>Shows byte payload → JSON decode → inference response path.</t>
  </si>
  <si>
    <t>Useful when testing message parsing without a broker.</t>
  </si>
  <si>
    <t>TFLite validation outputs</t>
  </si>
  <si>
    <t>efficientnetv2_tflite_single_audio_comparison.json; efficientnetv2_tflite_dataset_validation_results.csv</t>
  </si>
  <si>
    <t>Stores PyTorch vs TFLite comparison and dataset validation results.</t>
  </si>
  <si>
    <t>Use when checking TFLite parity.</t>
  </si>
  <si>
    <t>The code structure that supports training, model selection, and reusable implementation in torch_impl.</t>
  </si>
  <si>
    <t>Jump to dataset</t>
  </si>
  <si>
    <t>Key files / folders</t>
  </si>
  <si>
    <t>Main training entry</t>
  </si>
  <si>
    <t>train.py</t>
  </si>
  <si>
    <t>Full PyTorch training loop with AMP, gradient accumulation, optional ArcFace/Circle loss, optional distillation, checkpointing, early stopping, TensorBoard, validation and test metrics.</t>
  </si>
  <si>
    <t>Treat as the main training script in torch_impl.</t>
  </si>
  <si>
    <t>Config system</t>
  </si>
  <si>
    <t>config/config.yaml</t>
  </si>
  <si>
    <t>Hydra-based config controlling model choice, audio preprocessing, augmentation, quantisation, and training settings.</t>
  </si>
  <si>
    <t>Start here before changing training behaviour.</t>
  </si>
  <si>
    <t>Model package</t>
  </si>
  <si>
    <t>model/effv2.py; ghost_effv2.py; panns_cnn14.py; panns_mobilenetv1.py; panns_mobilenetv2.py; quant.py</t>
  </si>
  <si>
    <t>Multiple model families and quantisation-related code.</t>
  </si>
  <si>
    <t>This is the model implementation hub.</t>
  </si>
  <si>
    <t>Helper utilities</t>
  </si>
  <si>
    <t>helpers/</t>
  </si>
  <si>
    <t>Shared support utilities used by the training and inference stack.</t>
  </si>
  <si>
    <t>Read only when tracing support functions.</t>
  </si>
  <si>
    <t>Package / environment</t>
  </si>
  <si>
    <t>pyproject.toml</t>
  </si>
  <si>
    <t>Package definition for torch_impl.</t>
  </si>
  <si>
    <t>Active/current but incomplete</t>
  </si>
  <si>
    <t>Placeholder description suggests project packaging is still maturing.</t>
  </si>
  <si>
    <t>Documentation</t>
  </si>
  <si>
    <t>README.md; docs/</t>
  </si>
  <si>
    <t>Folder exists but documentation is still thin or incomplete.</t>
  </si>
  <si>
    <t>Work in progress</t>
  </si>
  <si>
    <t>Documentation debt remains; use code as source of truth.</t>
  </si>
  <si>
    <t>Everything that has already been proven to work in the current EfficientNetV2 torch_impl path.</t>
  </si>
  <si>
    <t>Validation step</t>
  </si>
  <si>
    <t>Key file / output</t>
  </si>
  <si>
    <t>What was validated</t>
  </si>
  <si>
    <t>Result</t>
  </si>
  <si>
    <t>Why it matters</t>
  </si>
  <si>
    <t>Saved model reload</t>
  </si>
  <si>
    <t>saved model loading test</t>
  </si>
  <si>
    <t>Checkpoint, class mapping, and sample audio inference work outside the training notebook.</t>
  </si>
  <si>
    <t>Pass</t>
  </si>
  <si>
    <t>Proves inference is reusable.</t>
  </si>
  <si>
    <t>Single audio inference</t>
  </si>
  <si>
    <t>Real dataset audio file returns label and confidence.</t>
  </si>
  <si>
    <t>Basic smoke test of predictor path.</t>
  </si>
  <si>
    <t>Dataset validation</t>
  </si>
  <si>
    <t>validate_efficientnetv2_dataset_inference.py</t>
  </si>
  <si>
    <t>50 labelled files tested against folder labels.</t>
  </si>
  <si>
    <t>47/50 correct (0.94)</t>
  </si>
  <si>
    <t>Shows model can run batched labelled inference.</t>
  </si>
  <si>
    <t>JSON-style validation</t>
  </si>
  <si>
    <t>validate_efficientnetv2_json_inference.py</t>
  </si>
  <si>
    <t>Structured Engine-style payload can be parsed and inferred.</t>
  </si>
  <si>
    <t>Useful for pre-MQTT integration.</t>
  </si>
  <si>
    <t>MQTT-style handler validation</t>
  </si>
  <si>
    <t>validate_efficientnetv2_mqtt_message_handler.py</t>
  </si>
  <si>
    <t>MQTT payload bytes decode correctly and return structured prediction response.</t>
  </si>
  <si>
    <t>Useful before live broker tests.</t>
  </si>
  <si>
    <t>ONNX export</t>
  </si>
  <si>
    <t>export_saved_efficientnetv2_to_onnx.py</t>
  </si>
  <si>
    <t>Checkpoint can be exported to ONNX with expected input shape [1,1,128,313].</t>
  </si>
  <si>
    <t>Required bridge toward TFLite conversion.</t>
  </si>
  <si>
    <t>TFLite conversion</t>
  </si>
  <si>
    <t>convert_saved_efficientnetv2_onnx_to_tflite.py</t>
  </si>
  <si>
    <t>ONNX → SavedModel → TFLite conversion succeeds.</t>
  </si>
  <si>
    <t>Deployment-friendly format produced.</t>
  </si>
  <si>
    <t>TFLite parity</t>
  </si>
  <si>
    <t>validate_efficientnetv2_tflite_inference.py</t>
  </si>
  <si>
    <t>PyTorch and TFLite predictions match on tested sample and dataset validation also 47/50.</t>
  </si>
  <si>
    <t>Confirms converted model is behaving consistently.</t>
  </si>
  <si>
    <t>Engine-side message path</t>
  </si>
  <si>
    <t>light_echo_engine_efficientnetv2_tflite.py</t>
  </si>
  <si>
    <t>Copied engine file can load TFLite model and run local audio-bytes inference.</t>
  </si>
  <si>
    <t>Connects inference logic to engine flow.</t>
  </si>
  <si>
    <t>Docker + real MQTT audio</t>
  </si>
  <si>
    <t>prototype Docker Engine test</t>
  </si>
  <si>
    <t>Engine container loads model, receives simulator MQTT audio, and prints species predictions.</t>
  </si>
  <si>
    <t>Strongest validation of working inference path.</t>
  </si>
  <si>
    <t>Post-prediction API/database send</t>
  </si>
  <si>
    <t>real Docker Engine test</t>
  </si>
  <si>
    <t>Detection event send after inference still errors.</t>
  </si>
  <si>
    <t>Failing after prediction</t>
  </si>
  <si>
    <t>Current blocker appears backend/API-side, not model inference-side.</t>
  </si>
  <si>
    <t>The role of benchmarking inside torch_impl and how it should be treated in handover.</t>
  </si>
  <si>
    <t>Jump to model/config</t>
  </si>
  <si>
    <t>Benchmarking folder</t>
  </si>
  <si>
    <t>benchmarking/</t>
  </si>
  <si>
    <t>Holds benchmarking notebook(s), report, and setup notes.</t>
  </si>
  <si>
    <t>Active/reference</t>
  </si>
  <si>
    <t>Use as benchmarking context under torch_impl, not as the whole project source of truth.</t>
  </si>
  <si>
    <t>Setup note</t>
  </si>
  <si>
    <t>benchmarking/README.md</t>
  </si>
  <si>
    <t>Explains dataset download and manual pretrained-weight setup for some models such as PANNs CNN14.</t>
  </si>
  <si>
    <t>Reference</t>
  </si>
  <si>
    <t>Important because benchmarking is not fully automated yet.</t>
  </si>
  <si>
    <t>Benchmarking report</t>
  </si>
  <si>
    <t>benchmarking report PDF</t>
  </si>
  <si>
    <t>Documents comparative benchmarking outputs.</t>
  </si>
  <si>
    <t>Useful for historical model comparison.</t>
  </si>
  <si>
    <t>Relationship to current work</t>
  </si>
  <si>
    <t>torch_impl overall</t>
  </si>
  <si>
    <t>Current integration work is downstream of prior benchmark/model selection; current focus is deployment-compatible EfficientNetV2 path.</t>
  </si>
  <si>
    <t>Current context</t>
  </si>
  <si>
    <t>Treat benchmarking as the upstream selection context for the active integration work.</t>
  </si>
  <si>
    <t>torch_impl Deployment &amp; Integration</t>
  </si>
  <si>
    <t>How torch_impl moves from saved model to Engine-side TFLite inference and what is still blocked.</t>
  </si>
  <si>
    <t>Stage</t>
  </si>
  <si>
    <t>Export</t>
  </si>
  <si>
    <t>Loads saved checkpoint and exports ONNX model with expected input shape.</t>
  </si>
  <si>
    <t>Beginning of deployment path.</t>
  </si>
  <si>
    <t>Conversion</t>
  </si>
  <si>
    <t>Converts ONNX to TensorFlow SavedModel and TFLite.</t>
  </si>
  <si>
    <t>TFLite file produced successfully.</t>
  </si>
  <si>
    <t>Local TFLite test</t>
  </si>
  <si>
    <t>Checks shapes, sample parity, and dataset accuracy for TFLite model.</t>
  </si>
  <si>
    <t>Confirms conversion quality.</t>
  </si>
  <si>
    <t>Engine-safe copy</t>
  </si>
  <si>
    <t>Copied Engine file used so original engine file stayed unchanged while adding EfficientNetV2 TFLite path.</t>
  </si>
  <si>
    <t>Current integration reference file.</t>
  </si>
  <si>
    <t>Model server path</t>
  </si>
  <si>
    <t>model_server/</t>
  </si>
  <si>
    <t>Containerised model serving materials inside torch_impl.</t>
  </si>
  <si>
    <t>Supporting area</t>
  </si>
  <si>
    <t>Read when tracing serving/container support.</t>
  </si>
  <si>
    <t>Docker engine setup</t>
  </si>
  <si>
    <t>Engine-specific Docker requirements; Dockerfile context temporarily pointed to torch_impl</t>
  </si>
  <si>
    <t>Lets the prototype Engine container run inference without training-only packages.</t>
  </si>
  <si>
    <t>Good reference for lightweight container dependencies.</t>
  </si>
  <si>
    <t>MQTT broker connection</t>
  </si>
  <si>
    <t>Docker Compose hostname fix</t>
  </si>
  <si>
    <t>Resolved broker hostname issue inside Docker network.</t>
  </si>
  <si>
    <t>Important environment-specific fix.</t>
  </si>
  <si>
    <t>Real simulator audio inference</t>
  </si>
  <si>
    <t>system_manager.py + simulator Animal_Mode</t>
  </si>
  <si>
    <t>Engine received valid WAV audio over MQTT and returned species predictions and top predictions.</t>
  </si>
  <si>
    <t>Confirms practical end-to-end inference path.</t>
  </si>
  <si>
    <t>API/database submission after inference</t>
  </si>
  <si>
    <t>Prediction already completes but event send fails with Internal Server Error.</t>
  </si>
  <si>
    <t>Open issue</t>
  </si>
  <si>
    <t>Likely needs API/backend follow-up, not model-side rework first.</t>
  </si>
  <si>
    <t>Purpose</t>
  </si>
  <si>
    <t>A fast view of what to use first, what to keep as reference, and what to avoid as default entry points.</t>
  </si>
  <si>
    <t>Jump to detailed log</t>
  </si>
  <si>
    <t>Category</t>
  </si>
  <si>
    <t>What it means</t>
  </si>
  <si>
    <t>Main examples</t>
  </si>
  <si>
    <t>Default team action</t>
  </si>
  <si>
    <t>Active / Current</t>
  </si>
  <si>
    <t>Default starting points for this semester's work.</t>
  </si>
  <si>
    <t>Use first</t>
  </si>
  <si>
    <t>Useful support material that explains prior pipeline or comparison choices.</t>
  </si>
  <si>
    <t>DATA PIPELINE.md; Benchmark.py; pipline_librosa.py; TimmModelCompare.xlsx; optimisation_comparision.pdf</t>
  </si>
  <si>
    <t>Consult when needed</t>
  </si>
  <si>
    <t>Legacy</t>
  </si>
  <si>
    <t>Older experiments and side investigations that still provide history but are not the default path.</t>
  </si>
  <si>
    <t>YAMNet/event folders; augmentation folders; weather folders; clustering; transfer learning tasks</t>
  </si>
  <si>
    <t>Do not start here unless task-specific</t>
  </si>
  <si>
    <t>Deprecated Candidate</t>
  </si>
  <si>
    <t>Duplicates, local/env-specific items, test media, screenshots, and clear cleanup candidates.</t>
  </si>
  <si>
    <t>notebook copies; .ipynb_checkpoints; test audio files; TensorBoard images; nested env folders</t>
  </si>
  <si>
    <t>Avoid as default entry points</t>
  </si>
  <si>
    <t>Needs confirmation</t>
  </si>
  <si>
    <t>Items whose final treatment should be agreed with the team before cleanup or demotion.</t>
  </si>
  <si>
    <t>Any item with weak evidence of current use outside torch_impl</t>
  </si>
  <si>
    <t>Confirm with engine lead</t>
  </si>
  <si>
    <t>Detailed Maintainability Log</t>
  </si>
  <si>
    <t>Use this sheet when you need row-by-row justification. It is intentionally denser than the front sheets.</t>
  </si>
  <si>
    <t>Item</t>
  </si>
  <si>
    <t>Path</t>
  </si>
  <si>
    <t>Type</t>
  </si>
  <si>
    <t>Confidence</t>
  </si>
  <si>
    <t>What it appears to do</t>
  </si>
  <si>
    <t>Handover action</t>
  </si>
  <si>
    <t>README.md</t>
  </si>
  <si>
    <t>src/Prototypes/engine/README.md</t>
  </si>
  <si>
    <t>Doc</t>
  </si>
  <si>
    <t>High</t>
  </si>
  <si>
    <t>Main orientation file for the prototype area.</t>
  </si>
  <si>
    <t>Read first before opening code.</t>
  </si>
  <si>
    <t>torch_impl</t>
  </si>
  <si>
    <t>src/Prototypes/engine/torch_impl</t>
  </si>
  <si>
    <t>Folder</t>
  </si>
  <si>
    <t>Confirmed main working area this semester. Holds training, validation, conversion, and deployment path.</t>
  </si>
  <si>
    <t>Use as default entry point.</t>
  </si>
  <si>
    <t>Benchmarking_and_Experimentation</t>
  </si>
  <si>
    <t>src/Prototypes/engine/Benchmarking_and_Experimentation</t>
  </si>
  <si>
    <t>Older/parallel benchmarking workspace still useful for context.</t>
  </si>
  <si>
    <t>Consult when you need benchmark history or comparison context.</t>
  </si>
  <si>
    <t>optimised_engine_pipeline_MASTER.ipynb</t>
  </si>
  <si>
    <t>src/Prototypes/engine/optimised_engine_pipeline_MASTER.ipynb</t>
  </si>
  <si>
    <t>Notebook</t>
  </si>
  <si>
    <t>Most authoritative older root notebook among notebook copies.</t>
  </si>
  <si>
    <t>Use for older root-level pipeline context only.</t>
  </si>
  <si>
    <t>baseline_config.py</t>
  </si>
  <si>
    <t>src/Prototypes/engine/baseline_config.py</t>
  </si>
  <si>
    <t>Python script</t>
  </si>
  <si>
    <t>Core baseline configuration module.</t>
  </si>
  <si>
    <t>Keep in current-reading set.</t>
  </si>
  <si>
    <t>echo_data_module.py</t>
  </si>
  <si>
    <t>src/Prototypes/engine/echo_data_module.py</t>
  </si>
  <si>
    <t>Data-loading/data-module support for prototype workflows.</t>
  </si>
  <si>
    <t>echo_module.py</t>
  </si>
  <si>
    <t>src/Prototypes/engine/echo_module.py</t>
  </si>
  <si>
    <t>Core prototype model/training module.</t>
  </si>
  <si>
    <t>echo_tfimm_model.py</t>
  </si>
  <si>
    <t>src/Prototypes/engine/echo_tfimm_model.py</t>
  </si>
  <si>
    <t>Model definition/integration file for TIMM-style models.</t>
  </si>
  <si>
    <t>htsat_layers.py</t>
  </si>
  <si>
    <t>src/Prototypes/engine/htsat_layers.py</t>
  </si>
  <si>
    <t>HTS-AT layer implementation.</t>
  </si>
  <si>
    <t>Keep for architecture review.</t>
  </si>
  <si>
    <t>htsat_model.py</t>
  </si>
  <si>
    <t>src/Prototypes/engine/htsat_model.py</t>
  </si>
  <si>
    <t>HTS-AT model implementation.</t>
  </si>
  <si>
    <t>htsat_utils.py</t>
  </si>
  <si>
    <t>src/Prototypes/engine/htsat_utils.py</t>
  </si>
  <si>
    <t>HTS-AT support utilities.</t>
  </si>
  <si>
    <t>DATA PIPELINE.md</t>
  </si>
  <si>
    <t>src/Prototypes/engine/DATA PIPELINE.md</t>
  </si>
  <si>
    <t>Describes intended data pipeline and outputs.</t>
  </si>
  <si>
    <t>Use as supporting background, not as sole source of truth.</t>
  </si>
  <si>
    <t>Benchmark.py</t>
  </si>
  <si>
    <t>src/Prototypes/engine/Benchmark.py</t>
  </si>
  <si>
    <t>Medium</t>
  </si>
  <si>
    <t>Older benchmark logic reference.</t>
  </si>
  <si>
    <t>Consult only when tracing earlier benchmark behaviour.</t>
  </si>
  <si>
    <t>pipline_librosa.py</t>
  </si>
  <si>
    <t>src/Prototypes/engine/pipline_librosa.py</t>
  </si>
  <si>
    <t>Librosa-based preprocessing/pipeline experimentation script.</t>
  </si>
  <si>
    <t>Use as pipeline reference only.</t>
  </si>
  <si>
    <t>TimmModelCompare.xlsx</t>
  </si>
  <si>
    <t>src/Prototypes/engine/TimmModelCompare.xlsx</t>
  </si>
  <si>
    <t>Spreadsheet</t>
  </si>
  <si>
    <t>Model comparison spreadsheet for TIMM variants.</t>
  </si>
  <si>
    <t>Use when comparing earlier model candidates.</t>
  </si>
  <si>
    <t>optimisation_comparision.pdf</t>
  </si>
  <si>
    <t>src/Prototypes/engine/optimisation_comparision.pdf</t>
  </si>
  <si>
    <t>PDF</t>
  </si>
  <si>
    <t>Optimisation summary/report artifact.</t>
  </si>
  <si>
    <t>Use as support evidence only.</t>
  </si>
  <si>
    <t>Directory Strtucture README.md</t>
  </si>
  <si>
    <t>src/Prototypes/engine/Directory Strtucture README.md</t>
  </si>
  <si>
    <t>Older structure note describing the prototype area.</t>
  </si>
  <si>
    <t>Background only.</t>
  </si>
  <si>
    <t>DisplayImageREADME.txt</t>
  </si>
  <si>
    <t>src/Prototypes/engine/DisplayImageREADME.txt</t>
  </si>
  <si>
    <t>Readme for image display experiments.</t>
  </si>
  <si>
    <t>Ignore unless reviewing visualisation utilities.</t>
  </si>
  <si>
    <t>librosa_IMG_display.py</t>
  </si>
  <si>
    <t>src/Prototypes/engine/librosa_IMG_display.py</t>
  </si>
  <si>
    <t>Visualisation utility for spectrogram/image display.</t>
  </si>
  <si>
    <t>Not a default entry point.</t>
  </si>
  <si>
    <t>Librosa Image Display.ipynb</t>
  </si>
  <si>
    <t>src/Prototypes/engine/Librosa Image Display.ipynb</t>
  </si>
  <si>
    <t>Visualisation/debugging notebook.</t>
  </si>
  <si>
    <t>Engine_Model_Optimization.ipynb</t>
  </si>
  <si>
    <t>src/Prototypes/engine/Engine_Model_Optimization.ipynb</t>
  </si>
  <si>
    <t>Research-history optimisation notebook.</t>
  </si>
  <si>
    <t>Use only for historical context.</t>
  </si>
  <si>
    <t>Optimised_model_with_sound_event.ipynb</t>
  </si>
  <si>
    <t>src/Prototypes/engine/Optimised_model_with_sound_event.ipynb</t>
  </si>
  <si>
    <t>Side/predecessor experiment around sound events.</t>
  </si>
  <si>
    <t>Use only if task-specific.</t>
  </si>
  <si>
    <t>optimise with unseen data.ipynb</t>
  </si>
  <si>
    <t>src/Prototypes/engine/optimise with unseen data.ipynb</t>
  </si>
  <si>
    <t>Older unseen-data optimisation experiment.</t>
  </si>
  <si>
    <t>Real_time_audio_with_yamnet.ipynb</t>
  </si>
  <si>
    <t>src/Prototypes/engine/Real_time_audio_with_yamnet.ipynb</t>
  </si>
  <si>
    <t>YAMNet real-time experiment notebook.</t>
  </si>
  <si>
    <t>Not default current path.</t>
  </si>
  <si>
    <t>trained engine pipeline [InceptionResNetV2].ipynb</t>
  </si>
  <si>
    <t>src/Prototypes/engine/trained engine pipeline [InceptionResNetV2].ipynb</t>
  </si>
  <si>
    <t>Historical model-specific training notebook.</t>
  </si>
  <si>
    <t>Historical only.</t>
  </si>
  <si>
    <t>yamnet</t>
  </si>
  <si>
    <t>src/Prototypes/engine/yamnet</t>
  </si>
  <si>
    <t>Older/shared YAMNet branch.</t>
  </si>
  <si>
    <t>Do not start here unless task specifically needs YAMNet.</t>
  </si>
  <si>
    <t>Event_Segmentation_YamNet</t>
  </si>
  <si>
    <t>src/Prototypes/engine/Event_Segmentation_YamNet</t>
  </si>
  <si>
    <t>Specialised event-segmentation branch.</t>
  </si>
  <si>
    <t>Historical/specialised only.</t>
  </si>
  <si>
    <t>yamnet_windows_env/training/training/yamnet</t>
  </si>
  <si>
    <t>src/Prototypes/engine/yamnet_windows_env/training/training/yamnet</t>
  </si>
  <si>
    <t>Environment-specific nested setup residue.</t>
  </si>
  <si>
    <t>Do not use as shared working path; confirm before cleanup.</t>
  </si>
  <si>
    <t>AUGMENTATION PROTOTYPES</t>
  </si>
  <si>
    <t>src/Prototypes/engine/AUGMENTATION PROTOTYPES</t>
  </si>
  <si>
    <t>Older augmentation experiments.</t>
  </si>
  <si>
    <t>Augmentation Tasks</t>
  </si>
  <si>
    <t>src/Prototypes/engine/Augmentation Tasks</t>
  </si>
  <si>
    <t>Task-level augmentation experiments.</t>
  </si>
  <si>
    <t>Audio Augmentation Comparison</t>
  </si>
  <si>
    <t>src/Prototypes/engine/Audio Augmentation Comparison</t>
  </si>
  <si>
    <t>Augmentation comparison experiments.</t>
  </si>
  <si>
    <t>WeatherDetection / Weather Detection - ND</t>
  </si>
  <si>
    <t>src/Prototypes/engine/WeatherDetection</t>
  </si>
  <si>
    <t>Weather-related branch separate from current mainline.</t>
  </si>
  <si>
    <t>Use only if weather work resumes.</t>
  </si>
  <si>
    <t>Clustering / Unsupervised folders</t>
  </si>
  <si>
    <t>src/Prototypes/engine/Clustering</t>
  </si>
  <si>
    <t>Unsupervised/clustering exploration branches.</t>
  </si>
  <si>
    <t>Research history only.</t>
  </si>
  <si>
    <t>Transfer Learning Models / Tasks</t>
  </si>
  <si>
    <t>src/Prototypes/engine/Transfer Learning Models</t>
  </si>
  <si>
    <t>Earlier transfer-learning work.</t>
  </si>
  <si>
    <t>Historical context only.</t>
  </si>
  <si>
    <t>Testing on Real World Data</t>
  </si>
  <si>
    <t>src/Prototypes/engine/Testing on Real World Data</t>
  </si>
  <si>
    <t>Validation on real-world audio branch.</t>
  </si>
  <si>
    <t>Useful history, not default path.</t>
  </si>
  <si>
    <t>Working with overlapping audio / Overlapping sound</t>
  </si>
  <si>
    <t>src/Prototypes/engine/Working with overlapping audio</t>
  </si>
  <si>
    <t>Special-case mixed-sound experiments.</t>
  </si>
  <si>
    <t>Use only if overlap-specific task arises.</t>
  </si>
  <si>
    <t>Noise_detection / Lower Audio Quality</t>
  </si>
  <si>
    <t>src/Prototypes/engine/Noise_detection</t>
  </si>
  <si>
    <t>Noise and low-quality audio robustness investigations.</t>
  </si>
  <si>
    <t>Integration_Demo</t>
  </si>
  <si>
    <t>src/Prototypes/engine/Integration_Demo</t>
  </si>
  <si>
    <t>Demo/integration materials rather than main source.</t>
  </si>
  <si>
    <t>Not default entry point.</t>
  </si>
  <si>
    <t>Production-Engines</t>
  </si>
  <si>
    <t>src/Prototypes/engine/Production-Engines</t>
  </si>
  <si>
    <t>Low</t>
  </si>
  <si>
    <t>Older production-oriented prototype area.</t>
  </si>
  <si>
    <t>Treat as older path unless lead says otherwise.</t>
  </si>
  <si>
    <t>Final Trained Echo Model/echo_model</t>
  </si>
  <si>
    <t>src/Prototypes/engine/Final Trained Echo Model/echo_model</t>
  </si>
  <si>
    <t>Stored trained-model artefact folder.</t>
  </si>
  <si>
    <t>Keep for model-history reference, not code navigation.</t>
  </si>
  <si>
    <t>Copy of Spec_Augment_Model_With_Findings.ipynb</t>
  </si>
  <si>
    <t>src/Prototypes/engine/Copy of Spec_Augment_Model_With_Findings.ipynb</t>
  </si>
  <si>
    <t>Explicit duplicate/copy notebook.</t>
  </si>
  <si>
    <t>Do not use as a default entry point.</t>
  </si>
  <si>
    <t>optimised_engine_pipeline_MASTER copy.ipynb</t>
  </si>
  <si>
    <t>src/Prototypes/engine/optimised_engine_pipeline_MASTER copy.ipynb</t>
  </si>
  <si>
    <t>Duplicate of master notebook.</t>
  </si>
  <si>
    <t>optimised_engine_pipeline_MASTER copy 2.ipynb</t>
  </si>
  <si>
    <t>src/Prototypes/engine/optimised_engine_pipeline_MASTER copy 2.ipynb</t>
  </si>
  <si>
    <t>.ipynb_checkpoints</t>
  </si>
  <si>
    <t>src/Prototypes/engine/.ipynb_checkpoints</t>
  </si>
  <si>
    <t>Autosave/checkpoint folder.</t>
  </si>
  <si>
    <t>Safe cleanup candidate after confirmation.</t>
  </si>
  <si>
    <t>TensorBoard_1.png / TensorBoard_2.png</t>
  </si>
  <si>
    <t>src/Prototypes/engine/TensorBoard_1.png</t>
  </si>
  <si>
    <t>Image</t>
  </si>
  <si>
    <t>Static output images.</t>
  </si>
  <si>
    <t>Do not treat as working files.</t>
  </si>
  <si>
    <t>sample.mp3 / test.m4a / Test15.txt</t>
  </si>
  <si>
    <t>src/Prototypes/engine/sample.mp3</t>
  </si>
  <si>
    <t>Media / text</t>
  </si>
  <si>
    <t>Loose test/demo files.</t>
  </si>
  <si>
    <t>Why this sheet exists</t>
  </si>
  <si>
    <t>Explains what the labels mean and how this guide should be used safely.</t>
  </si>
  <si>
    <t>Term</t>
  </si>
  <si>
    <t>Meaning</t>
  </si>
  <si>
    <t>Use it for</t>
  </si>
  <si>
    <t>Caution</t>
  </si>
  <si>
    <t>Current semester working area or default reading path.</t>
  </si>
  <si>
    <t>torch_impl, core model/config files, immediate handover path.</t>
  </si>
  <si>
    <t>Still verify branch-level reality with the team when needed.</t>
  </si>
  <si>
    <t>Useful supporting material that explains prior work or pipeline logic.</t>
  </si>
  <si>
    <t>Docs, comparison files, older benchmark references.</t>
  </si>
  <si>
    <t>Do not assume reference files are the runtime source of truth.</t>
  </si>
  <si>
    <t>Older experiments or specialised side branches that still carry project history.</t>
  </si>
  <si>
    <t>YAMNet, augmentation, clustering, weather, overlap, transfer learning, older notebooks.</t>
  </si>
  <si>
    <t>Not the default starting path for this semester.</t>
  </si>
  <si>
    <t>Duplicates, local/environment-specific items, loose test artefacts, and obvious cleanup candidates.</t>
  </si>
  <si>
    <t>Notebook copies, checkpoint folders, media test files, env-specific paths.</t>
  </si>
  <si>
    <t>Do not archive or delete without lead confirmation.</t>
  </si>
  <si>
    <t>Confidence: High</t>
  </si>
  <si>
    <t>Strong evidence from structure, role, or confirmed team context.</t>
  </si>
  <si>
    <t>Clear current/duplicate cases.</t>
  </si>
  <si>
    <t>Not a runtime guarantee.</t>
  </si>
  <si>
    <t>Confidence: Medium</t>
  </si>
  <si>
    <t>Reasonable classification but still partly inferred.</t>
  </si>
  <si>
    <t>Older experiment folders, support scripts.</t>
  </si>
  <si>
    <t>Read contents if task becomes relevant.</t>
  </si>
  <si>
    <t>Confidence: Low</t>
  </si>
  <si>
    <t>Weak evidence or team confirmation still needed.</t>
  </si>
  <si>
    <t>Older production-oriented or ambiguous paths.</t>
  </si>
  <si>
    <t>Escalate before changing treatment.</t>
  </si>
  <si>
    <t>Important limitation</t>
  </si>
  <si>
    <t>This guide is an audit + handover tool, not full runtime validation of every file.</t>
  </si>
  <si>
    <t>Use it to navigate faster.</t>
  </si>
  <si>
    <t>Some items may still be used in private branches or informal workflows.</t>
  </si>
  <si>
    <t>Latest Evaluation Update</t>
  </si>
  <si>
    <t>Evaluation area</t>
  </si>
  <si>
    <t>Stratified test set</t>
  </si>
  <si>
    <t>Properly stratified evaluation across all classes</t>
  </si>
  <si>
    <t>Complete</t>
  </si>
  <si>
    <t>Replaces earlier small-sample view with a broader and more reliable result</t>
  </si>
  <si>
    <t>Files / classes covered</t>
  </si>
  <si>
    <t>2,166 files / 123 classes</t>
  </si>
  <si>
    <t>Test set covers all 123 classes</t>
  </si>
  <si>
    <t>Gives a more representative view of model performance across the dataset</t>
  </si>
  <si>
    <t>Top-1 accuracy</t>
  </si>
  <si>
    <t>Latest result</t>
  </si>
  <si>
    <t>Correct top prediction rate on the stratified test set</t>
  </si>
  <si>
    <t>95.8%</t>
  </si>
  <si>
    <t>Better than the earlier 94% baseline after fixing sampling bias</t>
  </si>
  <si>
    <t>Top-5 accuracy</t>
  </si>
  <si>
    <t>Correct class appears within top 5 predictions</t>
  </si>
  <si>
    <t>98.3%</t>
  </si>
  <si>
    <t>Shows model ranking is generally strong even when top-1 is wrong</t>
  </si>
  <si>
    <t>Error concentration</t>
  </si>
  <si>
    <t>Error pattern</t>
  </si>
  <si>
    <t>Around 40% of all errors come from the model defaulting to five classes when uncertain</t>
  </si>
  <si>
    <t>Observed</t>
  </si>
  <si>
    <t>Errors are not random, which gives a clearer direction for improvement</t>
  </si>
  <si>
    <t>Most common wrong class</t>
  </si>
  <si>
    <t>Rhipidura leucophrys</t>
  </si>
  <si>
    <t>Roughly 14% of all errors are predicted as this class</t>
  </si>
  <si>
    <t>Strong sign of class imbalance or dominant-class bias</t>
  </si>
  <si>
    <t>Top-5 recovery</t>
  </si>
  <si>
    <t>Error analysis</t>
  </si>
  <si>
    <t>Around 61% of wrong top-1 predictions still contain the correct answer in the top 5</t>
  </si>
  <si>
    <t>Suggests ranking quality can still be improved without rebuilding the full pipeline</t>
  </si>
  <si>
    <t>Confidence when correct</t>
  </si>
  <si>
    <t>Confidence behaviour</t>
  </si>
  <si>
    <t>Mean confidence for correct predictions</t>
  </si>
  <si>
    <t>0.91</t>
  </si>
  <si>
    <t>Confidence is high when the model is right</t>
  </si>
  <si>
    <t>Confidence when wrong</t>
  </si>
  <si>
    <t>Mean confidence for incorrect predictions</t>
  </si>
  <si>
    <t>0.45</t>
  </si>
  <si>
    <t>Useful separation between correct and incorrect predictions</t>
  </si>
  <si>
    <t>Threshold recommendation</t>
  </si>
  <si>
    <t>0.70 → 0.80</t>
  </si>
  <si>
    <t>Raising the user-facing confidence threshold from 0.70 to 0.80</t>
  </si>
  <si>
    <t>Recommended</t>
  </si>
  <si>
    <t>Improves displayed precision from 99.3% to 99.5% with only about 5% fewer predictions returned</t>
  </si>
  <si>
    <t>Current takeaway</t>
  </si>
  <si>
    <t>Model status</t>
  </si>
  <si>
    <t>Inference path is working well; current improvement focus is class imbalance, ranking quality, and output threshold tuning</t>
  </si>
  <si>
    <t>In progress</t>
  </si>
  <si>
    <t>Main issue is no longer proving inference works, but improving prediction behaviour</t>
  </si>
  <si>
    <t>Latest evaluation</t>
  </si>
  <si>
    <t>Main remaining issue</t>
  </si>
  <si>
    <t>The main issue is no longer proving inference works. Current errors are concentrated in a small number of dominant classes, which suggests class imbalance and top-1 ranking issues.</t>
  </si>
  <si>
    <t>Short-term recommendation</t>
  </si>
  <si>
    <t>A confidence threshold of 0.80 currently looks more practical than 0.70 for user-facing predictions.</t>
  </si>
  <si>
    <t>Recent stratified evaluation showed 95.8% top-1 accuracy and 98.3% top-5 accuracy across 2,166 files and all 123 classes.</t>
  </si>
  <si>
    <t>Task Guide</t>
  </si>
  <si>
    <t>Use this tab to jump to the right part of the workbook based on the task you are doing.</t>
  </si>
  <si>
    <t>Task</t>
  </si>
  <si>
    <t>What this helps with</t>
  </si>
  <si>
    <t>Start here</t>
  </si>
  <si>
    <t>Then check</t>
  </si>
  <si>
    <t>Avoid unless needed</t>
  </si>
  <si>
    <t>Notes</t>
  </si>
  <si>
    <t>Understand the current working path</t>
  </si>
  <si>
    <t>Get a fast overview of the active semester work</t>
  </si>
  <si>
    <t>Detailed Log first</t>
  </si>
  <si>
    <t>Best starting point for first-time contributors</t>
  </si>
  <si>
    <t>Review dataset and artefacts</t>
  </si>
  <si>
    <t>Find trained model outputs, class mapping, preprocess config, and related files</t>
  </si>
  <si>
    <t>Older prototype notebooks</t>
  </si>
  <si>
    <t>Use this when checking model assets and supporting files</t>
  </si>
  <si>
    <t>Review model and config</t>
  </si>
  <si>
    <t>Understand model definitions, config, and training-related structure</t>
  </si>
  <si>
    <t>Legacy experiment folders</t>
  </si>
  <si>
    <t>Best starting point for architecture or config review</t>
  </si>
  <si>
    <t>Review validation status</t>
  </si>
  <si>
    <t>Check what has been tested and what the latest results show</t>
  </si>
  <si>
    <t>Older benchmark notebooks outside torch_impl</t>
  </si>
  <si>
    <t>Includes validation flow, latest evaluation, and current issues</t>
  </si>
  <si>
    <t>Review benchmarking materials</t>
  </si>
  <si>
    <t>Check current benchmark-related files and references</t>
  </si>
  <si>
    <t>Unrelated historical experiments</t>
  </si>
  <si>
    <t>Use this when reviewing benchmark context, not full deployment flow</t>
  </si>
  <si>
    <t>Review deployment and integration</t>
  </si>
  <si>
    <t>Follow ONNX, TFLite, Engine, Docker, and MQTT-related work</t>
  </si>
  <si>
    <t>Old prototype-only integration folders</t>
  </si>
  <si>
    <t>Best place for inference-path and deployment checks</t>
  </si>
  <si>
    <t>Understand the full prototype directory</t>
  </si>
  <si>
    <t>See how active, reference, legacy, and deprecated-candidate areas are organised</t>
  </si>
  <si>
    <t>Random folder browsing</t>
  </si>
  <si>
    <t>Useful when you need wider context beyond torch_impl</t>
  </si>
  <si>
    <t>Check detailed classification decisions</t>
  </si>
  <si>
    <t>Review why items were labelled active, reference, legacy, or deprecated-candidate</t>
  </si>
  <si>
    <t>None</t>
  </si>
  <si>
    <t>Best for audit evidence and deeper justification</t>
  </si>
  <si>
    <t>Understand classification logic</t>
  </si>
  <si>
    <t>Review how the workbook categories were decided</t>
  </si>
  <si>
    <t>Useful when confirming how judgments were made</t>
  </si>
  <si>
    <t>Latest evaluation note</t>
  </si>
  <si>
    <t>The earlier 94% baseline has now been improved to 95.8% top-1 accuracy and 98.3% top-5 accuracy on a properly stratified test set covering 2,166 files across all 123 classes.</t>
  </si>
  <si>
    <t>Current benchmarking takeaway</t>
  </si>
  <si>
    <t>Benchmark interpretation should now rely more on the newer stratified evaluation result rather than the earlier small-sample view, as the updated result gives a more reliable picture of model performance.</t>
  </si>
  <si>
    <t>Current model quality note</t>
  </si>
  <si>
    <t>Latest stratified evaluation reports 95.8% top-1 accuracy and 98.3% top-5 accuracy across 2,166 files and all 123 classes, so the deployment path is now building on a stronger validated model workflow rather than only a basic inference proof.</t>
  </si>
  <si>
    <t>Deployment implication</t>
  </si>
  <si>
    <t>The deployment and Engine-side integration work is now supported by a more reliable evaluation result, which means the remaining work is less about proving inference works and more about improving post-prediction handling, model behaviour under uncertainty, and backend/API integration.</t>
  </si>
  <si>
    <t>torch_impl; core Python model/config files</t>
  </si>
  <si>
    <t>Engine team role</t>
  </si>
  <si>
    <t>Current project focus</t>
  </si>
  <si>
    <t>The Engine team is responsible for the audio-recognition side of Project Echo. Its work includes model training, preprocessing audio into model-ready inputs, validating prediction quality, converting models into deployment-friendly formats, and connecting inference into the Engine workflow.</t>
  </si>
  <si>
    <t>The current semester implementation is centred on the torch_impl area, where the team has been developing and validating an EfficientNetV2-based inference path. The current work covers saved-model reuse, validation, ONNX/TFLite conversion, Engine-side inference, and Docker/MQTT integration.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</si>
</sst>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0F172A"/>
      <name val="Carlito"/>
    </font>
    <font>
      <sz val="11"/>
      <color rgb="FF0563C1"/>
      <name val="Carlito"/>
    </font>
    <font>
      <b/>
      <sz val="11"/>
      <color rgb="FF1F2937"/>
      <name val="Carlito"/>
    </font>
    <font>
      <b/>
      <sz val="12"/>
      <color rgb="FFFFFFFF"/>
      <name val="Carlito"/>
    </font>
    <font>
      <b/>
      <sz val="11"/>
      <name val="Carlito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3" tint="0.24997711111789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3" borderId="0" xfId="0" applyFont="1" applyFill="1"/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4" borderId="0" xfId="0" applyFont="1" applyFill="1"/>
    <xf numFmtId="0" fontId="7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/>
    </xf>
    <xf numFmtId="0" fontId="0" fillId="0" borderId="0" xfId="0"/>
    <xf numFmtId="0" fontId="9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vertical="top" wrapText="1"/>
    </xf>
  </cellXfs>
  <cellStyles count="2">
    <cellStyle name="Normal" xfId="0" builtinId="0"/>
    <cellStyle name="Normal 2" xfId="1" xr:uid="{352395F2-6246-477E-9313-9C81E9B810B4}"/>
  </cellStyles>
  <dxfs count="9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F5" sqref="F5"/>
    </sheetView>
  </sheetViews>
  <sheetFormatPr defaultRowHeight="14.25"/>
  <cols>
    <col min="1" max="1" width="20" customWidth="1"/>
    <col min="2" max="2" width="14" customWidth="1"/>
    <col min="3" max="3" width="42" customWidth="1"/>
    <col min="4" max="4" width="69.125" customWidth="1"/>
  </cols>
  <sheetData>
    <row r="1" spans="1:4" ht="15">
      <c r="A1" s="12" t="s">
        <v>0</v>
      </c>
      <c r="B1" s="12"/>
      <c r="C1" s="12"/>
      <c r="D1" s="12"/>
    </row>
    <row r="2" spans="1:4" ht="30">
      <c r="A2" s="4" t="s">
        <v>1</v>
      </c>
      <c r="B2" s="13" t="s">
        <v>2</v>
      </c>
      <c r="C2" s="13"/>
      <c r="D2" s="13"/>
    </row>
    <row r="3" spans="1:4" ht="15">
      <c r="A3" s="4" t="s">
        <v>621</v>
      </c>
      <c r="B3" s="13" t="s">
        <v>623</v>
      </c>
      <c r="C3" s="13"/>
      <c r="D3" s="13"/>
    </row>
    <row r="4" spans="1:4" ht="30">
      <c r="A4" s="4" t="s">
        <v>622</v>
      </c>
      <c r="B4" s="13" t="s">
        <v>624</v>
      </c>
      <c r="C4" s="13"/>
      <c r="D4" s="13"/>
    </row>
    <row r="5" spans="1:4" ht="31.5" customHeight="1">
      <c r="A5" s="4" t="s">
        <v>3</v>
      </c>
      <c r="B5" s="13" t="s">
        <v>4</v>
      </c>
      <c r="C5" s="13"/>
      <c r="D5" s="13"/>
    </row>
    <row r="6" spans="1:4" ht="30">
      <c r="A6" s="4" t="s">
        <v>5</v>
      </c>
      <c r="B6" s="13" t="s">
        <v>6</v>
      </c>
      <c r="C6" s="13"/>
      <c r="D6" s="13"/>
    </row>
    <row r="7" spans="1:4" ht="15">
      <c r="A7" s="3" t="s">
        <v>7</v>
      </c>
      <c r="B7" s="3" t="s">
        <v>8</v>
      </c>
      <c r="C7" s="3" t="s">
        <v>9</v>
      </c>
      <c r="D7" s="3" t="s">
        <v>10</v>
      </c>
    </row>
    <row r="8" spans="1:4" ht="15">
      <c r="A8" s="4" t="s">
        <v>11</v>
      </c>
      <c r="B8" s="6" t="str">
        <f>HYPERLINK("#'torch_impl Hub'!A1","Open")</f>
        <v>Open</v>
      </c>
      <c r="C8" s="5" t="s">
        <v>12</v>
      </c>
      <c r="D8" s="5" t="s">
        <v>13</v>
      </c>
    </row>
    <row r="9" spans="1:4" ht="29.25">
      <c r="A9" s="4" t="s">
        <v>14</v>
      </c>
      <c r="B9" s="6" t="str">
        <f>HYPERLINK("#'torch_impl Dataset'!A1","Open")</f>
        <v>Open</v>
      </c>
      <c r="C9" s="5" t="s">
        <v>15</v>
      </c>
      <c r="D9" s="5" t="s">
        <v>16</v>
      </c>
    </row>
    <row r="10" spans="1:4" ht="30">
      <c r="A10" s="4" t="s">
        <v>17</v>
      </c>
      <c r="B10" s="6" t="str">
        <f>HYPERLINK("#'torch_impl Model_Config'!A1","Open")</f>
        <v>Open</v>
      </c>
      <c r="C10" s="5" t="s">
        <v>18</v>
      </c>
      <c r="D10" s="5" t="s">
        <v>19</v>
      </c>
    </row>
    <row r="11" spans="1:4" ht="43.5">
      <c r="A11" s="4" t="s">
        <v>20</v>
      </c>
      <c r="B11" s="6" t="str">
        <f>HYPERLINK("#'torch_impl Validation'!A1","Open")</f>
        <v>Open</v>
      </c>
      <c r="C11" s="5" t="s">
        <v>21</v>
      </c>
      <c r="D11" s="5" t="s">
        <v>22</v>
      </c>
    </row>
    <row r="12" spans="1:4" ht="30">
      <c r="A12" s="4" t="s">
        <v>23</v>
      </c>
      <c r="B12" s="6" t="str">
        <f>HYPERLINK("#'torch_impl Benchmarking'!A1","Open")</f>
        <v>Open</v>
      </c>
      <c r="C12" s="5" t="s">
        <v>24</v>
      </c>
      <c r="D12" s="5" t="s">
        <v>25</v>
      </c>
    </row>
    <row r="13" spans="1:4" ht="30">
      <c r="A13" s="4" t="s">
        <v>26</v>
      </c>
      <c r="B13" s="6" t="str">
        <f>HYPERLINK("#'torch_impl Deployment'!A1","Open")</f>
        <v>Open</v>
      </c>
      <c r="C13" s="5" t="s">
        <v>27</v>
      </c>
      <c r="D13" s="5" t="s">
        <v>28</v>
      </c>
    </row>
    <row r="14" spans="1:4" ht="29.25">
      <c r="A14" s="4" t="s">
        <v>29</v>
      </c>
      <c r="B14" s="6" t="str">
        <f>HYPERLINK("#'Directory Quick Map'!A1","Open")</f>
        <v>Open</v>
      </c>
      <c r="C14" s="5" t="s">
        <v>30</v>
      </c>
      <c r="D14" s="5" t="s">
        <v>31</v>
      </c>
    </row>
    <row r="15" spans="1:4" ht="29.25">
      <c r="A15" s="4" t="s">
        <v>32</v>
      </c>
      <c r="B15" s="6" t="str">
        <f>HYPERLINK("#'Detailed Log'!A1","Open")</f>
        <v>Open</v>
      </c>
      <c r="C15" s="5" t="s">
        <v>33</v>
      </c>
      <c r="D15" s="5" t="s">
        <v>34</v>
      </c>
    </row>
    <row r="16" spans="1:4" ht="29.25">
      <c r="A16" s="4" t="s">
        <v>35</v>
      </c>
      <c r="B16" s="6" t="str">
        <f>HYPERLINK("#'Decision Rules'!A1","Open")</f>
        <v>Open</v>
      </c>
      <c r="C16" s="5" t="s">
        <v>36</v>
      </c>
      <c r="D16" s="5" t="s">
        <v>37</v>
      </c>
    </row>
  </sheetData>
  <mergeCells count="6">
    <mergeCell ref="A1:D1"/>
    <mergeCell ref="B2:D2"/>
    <mergeCell ref="B5:D5"/>
    <mergeCell ref="B6:D6"/>
    <mergeCell ref="B3:D3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FC42-EB39-4001-9484-FC942FD58566}">
  <dimension ref="A1:F12"/>
  <sheetViews>
    <sheetView workbookViewId="0">
      <selection activeCell="C19" sqref="C19"/>
    </sheetView>
  </sheetViews>
  <sheetFormatPr defaultRowHeight="14.25"/>
  <cols>
    <col min="1" max="1" width="26.5" customWidth="1"/>
    <col min="2" max="2" width="36.75" customWidth="1"/>
    <col min="3" max="3" width="8.5" bestFit="1" customWidth="1"/>
    <col min="4" max="4" width="9.5" bestFit="1" customWidth="1"/>
    <col min="5" max="5" width="23.5" customWidth="1"/>
    <col min="6" max="6" width="31.625" customWidth="1"/>
  </cols>
  <sheetData>
    <row r="1" spans="1:6" ht="15.75">
      <c r="A1" s="19" t="s">
        <v>569</v>
      </c>
      <c r="B1" s="20"/>
      <c r="C1" s="20"/>
      <c r="D1" s="20"/>
      <c r="E1" s="20"/>
      <c r="F1" s="20"/>
    </row>
    <row r="2" spans="1:6" ht="15">
      <c r="A2" s="21" t="s">
        <v>265</v>
      </c>
      <c r="B2" s="22" t="s">
        <v>570</v>
      </c>
      <c r="C2" s="23"/>
      <c r="D2" s="23"/>
      <c r="E2" s="23"/>
      <c r="F2" s="23"/>
    </row>
    <row r="3" spans="1:6" ht="15">
      <c r="A3" s="24" t="s">
        <v>571</v>
      </c>
      <c r="B3" s="24" t="s">
        <v>572</v>
      </c>
      <c r="C3" s="24" t="s">
        <v>573</v>
      </c>
      <c r="D3" s="24" t="s">
        <v>574</v>
      </c>
      <c r="E3" s="24" t="s">
        <v>575</v>
      </c>
      <c r="F3" s="24" t="s">
        <v>576</v>
      </c>
    </row>
    <row r="4" spans="1:6" ht="28.5">
      <c r="A4" s="25" t="s">
        <v>577</v>
      </c>
      <c r="B4" s="25" t="s">
        <v>578</v>
      </c>
      <c r="C4" s="27" t="str">
        <f>HYPERLINK("#'torch_impl Hub'!A1","Open")</f>
        <v>Open</v>
      </c>
      <c r="D4" s="27" t="str">
        <f>HYPERLINK("#'Directory Quick Map'!A1","Open")</f>
        <v>Open</v>
      </c>
      <c r="E4" s="25" t="s">
        <v>579</v>
      </c>
      <c r="F4" s="25" t="s">
        <v>580</v>
      </c>
    </row>
    <row r="5" spans="1:6" ht="28.5">
      <c r="A5" s="25" t="s">
        <v>581</v>
      </c>
      <c r="B5" s="25" t="s">
        <v>582</v>
      </c>
      <c r="C5" s="27" t="str">
        <f>HYPERLINK("#'torch_impl Dataset'!A1","Open")</f>
        <v>Open</v>
      </c>
      <c r="D5" s="27" t="str">
        <f>HYPERLINK("#'torch_impl Hub'!A1","Open")</f>
        <v>Open</v>
      </c>
      <c r="E5" s="25" t="s">
        <v>583</v>
      </c>
      <c r="F5" s="25" t="s">
        <v>584</v>
      </c>
    </row>
    <row r="6" spans="1:6" ht="28.5">
      <c r="A6" s="25" t="s">
        <v>585</v>
      </c>
      <c r="B6" s="25" t="s">
        <v>586</v>
      </c>
      <c r="C6" s="27" t="str">
        <f>HYPERLINK("#'torch_impl Model_Config'!A1","Open")</f>
        <v>Open</v>
      </c>
      <c r="D6" s="27" t="str">
        <f>HYPERLINK("#'torch_impl Hub'!A1","Open")</f>
        <v>Open</v>
      </c>
      <c r="E6" s="25" t="s">
        <v>587</v>
      </c>
      <c r="F6" s="25" t="s">
        <v>588</v>
      </c>
    </row>
    <row r="7" spans="1:6" ht="42.75">
      <c r="A7" s="25" t="s">
        <v>589</v>
      </c>
      <c r="B7" s="25" t="s">
        <v>590</v>
      </c>
      <c r="C7" s="27" t="str">
        <f>HYPERLINK("#'torch_impl Validation'!A1","Open")</f>
        <v>Open</v>
      </c>
      <c r="D7" s="27" t="str">
        <f>HYPERLINK("#'torch_impl Hub'!A1","Open")</f>
        <v>Open</v>
      </c>
      <c r="E7" s="25" t="s">
        <v>591</v>
      </c>
      <c r="F7" s="25" t="s">
        <v>592</v>
      </c>
    </row>
    <row r="8" spans="1:6" ht="28.5">
      <c r="A8" s="25" t="s">
        <v>593</v>
      </c>
      <c r="B8" s="25" t="s">
        <v>594</v>
      </c>
      <c r="C8" s="27" t="str">
        <f>HYPERLINK("#'torch_impl Benchmarking'!A1","Open")</f>
        <v>Open</v>
      </c>
      <c r="D8" s="27" t="str">
        <f>HYPERLINK("#'torch_impl Validation'!A1","Open")</f>
        <v>Open</v>
      </c>
      <c r="E8" s="25" t="s">
        <v>595</v>
      </c>
      <c r="F8" s="25" t="s">
        <v>596</v>
      </c>
    </row>
    <row r="9" spans="1:6" ht="28.5">
      <c r="A9" s="25" t="s">
        <v>597</v>
      </c>
      <c r="B9" s="25" t="s">
        <v>598</v>
      </c>
      <c r="C9" s="27" t="str">
        <f>HYPERLINK("#'torch_impl Deployment'!A1","Open")</f>
        <v>Open</v>
      </c>
      <c r="D9" s="27" t="str">
        <f>HYPERLINK("#'torch_impl Validation'!A1","Open")</f>
        <v>Open</v>
      </c>
      <c r="E9" s="25" t="s">
        <v>599</v>
      </c>
      <c r="F9" s="25" t="s">
        <v>600</v>
      </c>
    </row>
    <row r="10" spans="1:6" ht="28.5">
      <c r="A10" s="25" t="s">
        <v>601</v>
      </c>
      <c r="B10" s="25" t="s">
        <v>602</v>
      </c>
      <c r="C10" s="27" t="str">
        <f>HYPERLINK("#'Directory Quick Map'!A1","Open")</f>
        <v>Open</v>
      </c>
      <c r="D10" s="27" t="str">
        <f>HYPERLINK("#'Detailed Log'!A1","Open")</f>
        <v>Open</v>
      </c>
      <c r="E10" s="25" t="s">
        <v>603</v>
      </c>
      <c r="F10" s="25" t="s">
        <v>604</v>
      </c>
    </row>
    <row r="11" spans="1:6" ht="28.5">
      <c r="A11" s="25" t="s">
        <v>605</v>
      </c>
      <c r="B11" s="25" t="s">
        <v>606</v>
      </c>
      <c r="C11" s="27" t="str">
        <f>HYPERLINK("#'Detailed Log'!A1","Open")</f>
        <v>Open</v>
      </c>
      <c r="D11" s="27" t="str">
        <f>HYPERLINK("#'Decision Rules'!A1","Open")</f>
        <v>Open</v>
      </c>
      <c r="E11" s="25" t="s">
        <v>607</v>
      </c>
      <c r="F11" s="25" t="s">
        <v>608</v>
      </c>
    </row>
    <row r="12" spans="1:6" ht="28.5">
      <c r="A12" s="25" t="s">
        <v>609</v>
      </c>
      <c r="B12" s="25" t="s">
        <v>610</v>
      </c>
      <c r="C12" s="27" t="str">
        <f>HYPERLINK("#'Decision Rules'!A1","Open")</f>
        <v>Open</v>
      </c>
      <c r="D12" s="27" t="str">
        <f>HYPERLINK("#'Detailed Log'!A1","Open")</f>
        <v>Open</v>
      </c>
      <c r="E12" s="25" t="s">
        <v>607</v>
      </c>
      <c r="F12" s="25" t="s">
        <v>611</v>
      </c>
    </row>
  </sheetData>
  <mergeCells count="2">
    <mergeCell ref="A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selection activeCell="E5" sqref="E5"/>
    </sheetView>
  </sheetViews>
  <sheetFormatPr defaultRowHeight="14.25"/>
  <cols>
    <col min="1" max="1" width="18" customWidth="1"/>
    <col min="2" max="2" width="34" customWidth="1"/>
    <col min="3" max="3" width="42" customWidth="1"/>
    <col min="4" max="4" width="24" customWidth="1"/>
    <col min="5" max="5" width="18" customWidth="1"/>
  </cols>
  <sheetData>
    <row r="1" spans="1:5" ht="15">
      <c r="A1" s="12" t="s">
        <v>29</v>
      </c>
      <c r="B1" s="12"/>
      <c r="C1" s="12"/>
      <c r="D1" s="12"/>
      <c r="E1" s="12"/>
    </row>
    <row r="2" spans="1:5" ht="15">
      <c r="A2" s="4" t="s">
        <v>265</v>
      </c>
      <c r="B2" s="13" t="s">
        <v>266</v>
      </c>
      <c r="C2" s="13"/>
      <c r="D2" s="13"/>
      <c r="E2" s="13"/>
    </row>
    <row r="3" spans="1:5">
      <c r="A3" s="5" t="s">
        <v>86</v>
      </c>
      <c r="B3" s="6" t="str">
        <f>HYPERLINK("#'Start Here'!A1","Start Here")</f>
        <v>Start Here</v>
      </c>
      <c r="C3" s="5" t="s">
        <v>267</v>
      </c>
      <c r="D3" s="6" t="str">
        <f>HYPERLINK("#'Detailed Log'!A1","Detailed Log")</f>
        <v>Detailed Log</v>
      </c>
      <c r="E3" s="6" t="str">
        <f>HYPERLINK("#'torch_impl Hub'!A1","torch_impl Hub")</f>
        <v>torch_impl Hub</v>
      </c>
    </row>
    <row r="4" spans="1:5" ht="15">
      <c r="A4" s="3" t="s">
        <v>268</v>
      </c>
      <c r="B4" s="3" t="s">
        <v>269</v>
      </c>
      <c r="C4" s="3" t="s">
        <v>270</v>
      </c>
      <c r="D4" s="3" t="s">
        <v>271</v>
      </c>
      <c r="E4" s="3" t="s">
        <v>8</v>
      </c>
    </row>
    <row r="5" spans="1:5" ht="29.25">
      <c r="A5" s="4" t="s">
        <v>272</v>
      </c>
      <c r="B5" s="5" t="s">
        <v>273</v>
      </c>
      <c r="C5" s="5" t="s">
        <v>620</v>
      </c>
      <c r="D5" s="5" t="s">
        <v>274</v>
      </c>
      <c r="E5" s="6" t="str">
        <f>HYPERLINK("#'torch_impl Hub'!A1","Open current path")</f>
        <v>Open current path</v>
      </c>
    </row>
    <row r="6" spans="1:5" ht="43.5">
      <c r="A6" s="4" t="s">
        <v>218</v>
      </c>
      <c r="B6" s="5" t="s">
        <v>275</v>
      </c>
      <c r="C6" s="5" t="s">
        <v>276</v>
      </c>
      <c r="D6" s="5" t="s">
        <v>277</v>
      </c>
      <c r="E6" s="6" t="str">
        <f>HYPERLINK("#'Detailed Log'!A1","See reference rows")</f>
        <v>See reference rows</v>
      </c>
    </row>
    <row r="7" spans="1:5" ht="43.5">
      <c r="A7" s="4" t="s">
        <v>278</v>
      </c>
      <c r="B7" s="5" t="s">
        <v>279</v>
      </c>
      <c r="C7" s="5" t="s">
        <v>280</v>
      </c>
      <c r="D7" s="5" t="s">
        <v>281</v>
      </c>
      <c r="E7" s="6" t="str">
        <f>HYPERLINK("#'Detailed Log'!A1","See legacy rows")</f>
        <v>See legacy rows</v>
      </c>
    </row>
    <row r="8" spans="1:5" ht="43.5">
      <c r="A8" s="4" t="s">
        <v>282</v>
      </c>
      <c r="B8" s="5" t="s">
        <v>283</v>
      </c>
      <c r="C8" s="5" t="s">
        <v>284</v>
      </c>
      <c r="D8" s="5" t="s">
        <v>285</v>
      </c>
      <c r="E8" s="6" t="str">
        <f>HYPERLINK("#'Detailed Log'!A1","See deprecated rows")</f>
        <v>See deprecated rows</v>
      </c>
    </row>
    <row r="9" spans="1:5" ht="43.5">
      <c r="A9" s="4" t="s">
        <v>286</v>
      </c>
      <c r="B9" s="5" t="s">
        <v>287</v>
      </c>
      <c r="C9" s="5" t="s">
        <v>288</v>
      </c>
      <c r="D9" s="5" t="s">
        <v>289</v>
      </c>
      <c r="E9" s="6" t="str">
        <f>HYPERLINK("#'Decision Rules'!A1","See rules")</f>
        <v>See rules</v>
      </c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</sheetData>
  <mergeCells count="2">
    <mergeCell ref="A1:E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0"/>
  <sheetViews>
    <sheetView workbookViewId="0">
      <selection sqref="A1:G1"/>
    </sheetView>
  </sheetViews>
  <sheetFormatPr defaultRowHeight="14.25"/>
  <cols>
    <col min="1" max="1" width="26" customWidth="1"/>
    <col min="2" max="2" width="44" customWidth="1"/>
    <col min="3" max="3" width="16" customWidth="1"/>
    <col min="4" max="4" width="20" customWidth="1"/>
    <col min="5" max="5" width="12" customWidth="1"/>
    <col min="6" max="6" width="42" customWidth="1"/>
    <col min="7" max="7" width="34" customWidth="1"/>
  </cols>
  <sheetData>
    <row r="1" spans="1:7" ht="15">
      <c r="A1" s="12" t="s">
        <v>290</v>
      </c>
      <c r="B1" s="12"/>
      <c r="C1" s="12"/>
      <c r="D1" s="12"/>
      <c r="E1" s="12"/>
      <c r="F1" s="12"/>
      <c r="G1" s="12"/>
    </row>
    <row r="2" spans="1:7">
      <c r="A2" s="18" t="s">
        <v>291</v>
      </c>
      <c r="B2" s="18"/>
      <c r="C2" s="18"/>
      <c r="D2" s="18"/>
      <c r="E2" s="18"/>
      <c r="F2" s="18"/>
      <c r="G2" s="18"/>
    </row>
    <row r="3" spans="1:7" ht="15">
      <c r="A3" s="3" t="s">
        <v>292</v>
      </c>
      <c r="B3" s="3" t="s">
        <v>293</v>
      </c>
      <c r="C3" s="3" t="s">
        <v>294</v>
      </c>
      <c r="D3" s="3" t="s">
        <v>268</v>
      </c>
      <c r="E3" s="3" t="s">
        <v>295</v>
      </c>
      <c r="F3" s="3" t="s">
        <v>296</v>
      </c>
      <c r="G3" s="3" t="s">
        <v>297</v>
      </c>
    </row>
    <row r="4" spans="1:7" ht="15">
      <c r="A4" s="4" t="s">
        <v>298</v>
      </c>
      <c r="B4" s="5" t="s">
        <v>299</v>
      </c>
      <c r="C4" s="5" t="s">
        <v>300</v>
      </c>
      <c r="D4" s="5" t="s">
        <v>272</v>
      </c>
      <c r="E4" s="5" t="s">
        <v>301</v>
      </c>
      <c r="F4" s="5" t="s">
        <v>302</v>
      </c>
      <c r="G4" s="5" t="s">
        <v>303</v>
      </c>
    </row>
    <row r="5" spans="1:7" ht="43.5">
      <c r="A5" s="4" t="s">
        <v>304</v>
      </c>
      <c r="B5" s="5" t="s">
        <v>305</v>
      </c>
      <c r="C5" s="5" t="s">
        <v>306</v>
      </c>
      <c r="D5" s="5" t="s">
        <v>272</v>
      </c>
      <c r="E5" s="5" t="s">
        <v>301</v>
      </c>
      <c r="F5" s="5" t="s">
        <v>307</v>
      </c>
      <c r="G5" s="5" t="s">
        <v>308</v>
      </c>
    </row>
    <row r="6" spans="1:7" ht="30">
      <c r="A6" s="4" t="s">
        <v>309</v>
      </c>
      <c r="B6" s="5" t="s">
        <v>310</v>
      </c>
      <c r="C6" s="5" t="s">
        <v>306</v>
      </c>
      <c r="D6" s="5" t="s">
        <v>218</v>
      </c>
      <c r="E6" s="5" t="s">
        <v>301</v>
      </c>
      <c r="F6" s="5" t="s">
        <v>311</v>
      </c>
      <c r="G6" s="5" t="s">
        <v>312</v>
      </c>
    </row>
    <row r="7" spans="1:7" ht="30">
      <c r="A7" s="4" t="s">
        <v>313</v>
      </c>
      <c r="B7" s="5" t="s">
        <v>314</v>
      </c>
      <c r="C7" s="5" t="s">
        <v>315</v>
      </c>
      <c r="D7" s="5" t="s">
        <v>218</v>
      </c>
      <c r="E7" s="5" t="s">
        <v>301</v>
      </c>
      <c r="F7" s="5" t="s">
        <v>316</v>
      </c>
      <c r="G7" s="5" t="s">
        <v>317</v>
      </c>
    </row>
    <row r="8" spans="1:7" ht="15">
      <c r="A8" s="4" t="s">
        <v>318</v>
      </c>
      <c r="B8" s="5" t="s">
        <v>319</v>
      </c>
      <c r="C8" s="5" t="s">
        <v>320</v>
      </c>
      <c r="D8" s="5" t="s">
        <v>218</v>
      </c>
      <c r="E8" s="5" t="s">
        <v>301</v>
      </c>
      <c r="F8" s="5" t="s">
        <v>321</v>
      </c>
      <c r="G8" s="5" t="s">
        <v>322</v>
      </c>
    </row>
    <row r="9" spans="1:7" ht="29.25">
      <c r="A9" s="4" t="s">
        <v>323</v>
      </c>
      <c r="B9" s="5" t="s">
        <v>324</v>
      </c>
      <c r="C9" s="5" t="s">
        <v>320</v>
      </c>
      <c r="D9" s="5" t="s">
        <v>218</v>
      </c>
      <c r="E9" s="5" t="s">
        <v>301</v>
      </c>
      <c r="F9" s="5" t="s">
        <v>325</v>
      </c>
      <c r="G9" s="5" t="s">
        <v>322</v>
      </c>
    </row>
    <row r="10" spans="1:7" ht="15">
      <c r="A10" s="4" t="s">
        <v>326</v>
      </c>
      <c r="B10" s="5" t="s">
        <v>327</v>
      </c>
      <c r="C10" s="5" t="s">
        <v>320</v>
      </c>
      <c r="D10" s="5" t="s">
        <v>218</v>
      </c>
      <c r="E10" s="5" t="s">
        <v>301</v>
      </c>
      <c r="F10" s="5" t="s">
        <v>328</v>
      </c>
      <c r="G10" s="5" t="s">
        <v>322</v>
      </c>
    </row>
    <row r="11" spans="1:7" ht="29.25">
      <c r="A11" s="4" t="s">
        <v>329</v>
      </c>
      <c r="B11" s="5" t="s">
        <v>330</v>
      </c>
      <c r="C11" s="5" t="s">
        <v>320</v>
      </c>
      <c r="D11" s="5" t="s">
        <v>218</v>
      </c>
      <c r="E11" s="5" t="s">
        <v>301</v>
      </c>
      <c r="F11" s="5" t="s">
        <v>331</v>
      </c>
      <c r="G11" s="5" t="s">
        <v>322</v>
      </c>
    </row>
    <row r="12" spans="1:7" ht="15">
      <c r="A12" s="4" t="s">
        <v>332</v>
      </c>
      <c r="B12" s="5" t="s">
        <v>333</v>
      </c>
      <c r="C12" s="5" t="s">
        <v>320</v>
      </c>
      <c r="D12" s="5" t="s">
        <v>218</v>
      </c>
      <c r="E12" s="5" t="s">
        <v>301</v>
      </c>
      <c r="F12" s="5" t="s">
        <v>334</v>
      </c>
      <c r="G12" s="5" t="s">
        <v>335</v>
      </c>
    </row>
    <row r="13" spans="1:7" ht="15">
      <c r="A13" s="4" t="s">
        <v>336</v>
      </c>
      <c r="B13" s="5" t="s">
        <v>337</v>
      </c>
      <c r="C13" s="5" t="s">
        <v>320</v>
      </c>
      <c r="D13" s="5" t="s">
        <v>218</v>
      </c>
      <c r="E13" s="5" t="s">
        <v>301</v>
      </c>
      <c r="F13" s="5" t="s">
        <v>338</v>
      </c>
      <c r="G13" s="5" t="s">
        <v>335</v>
      </c>
    </row>
    <row r="14" spans="1:7" ht="15">
      <c r="A14" s="4" t="s">
        <v>339</v>
      </c>
      <c r="B14" s="5" t="s">
        <v>340</v>
      </c>
      <c r="C14" s="5" t="s">
        <v>320</v>
      </c>
      <c r="D14" s="5" t="s">
        <v>218</v>
      </c>
      <c r="E14" s="5" t="s">
        <v>301</v>
      </c>
      <c r="F14" s="5" t="s">
        <v>341</v>
      </c>
      <c r="G14" s="5" t="s">
        <v>335</v>
      </c>
    </row>
    <row r="15" spans="1:7" ht="29.25">
      <c r="A15" s="4" t="s">
        <v>342</v>
      </c>
      <c r="B15" s="5" t="s">
        <v>343</v>
      </c>
      <c r="C15" s="5" t="s">
        <v>300</v>
      </c>
      <c r="D15" s="5" t="s">
        <v>218</v>
      </c>
      <c r="E15" s="5" t="s">
        <v>301</v>
      </c>
      <c r="F15" s="5" t="s">
        <v>344</v>
      </c>
      <c r="G15" s="5" t="s">
        <v>345</v>
      </c>
    </row>
    <row r="16" spans="1:7" ht="29.25">
      <c r="A16" s="4" t="s">
        <v>346</v>
      </c>
      <c r="B16" s="5" t="s">
        <v>347</v>
      </c>
      <c r="C16" s="5" t="s">
        <v>320</v>
      </c>
      <c r="D16" s="5" t="s">
        <v>218</v>
      </c>
      <c r="E16" s="5" t="s">
        <v>348</v>
      </c>
      <c r="F16" s="5" t="s">
        <v>349</v>
      </c>
      <c r="G16" s="5" t="s">
        <v>350</v>
      </c>
    </row>
    <row r="17" spans="1:7" ht="29.25">
      <c r="A17" s="4" t="s">
        <v>351</v>
      </c>
      <c r="B17" s="5" t="s">
        <v>352</v>
      </c>
      <c r="C17" s="5" t="s">
        <v>320</v>
      </c>
      <c r="D17" s="5" t="s">
        <v>218</v>
      </c>
      <c r="E17" s="5" t="s">
        <v>348</v>
      </c>
      <c r="F17" s="5" t="s">
        <v>353</v>
      </c>
      <c r="G17" s="5" t="s">
        <v>354</v>
      </c>
    </row>
    <row r="18" spans="1:7" ht="29.25">
      <c r="A18" s="4" t="s">
        <v>355</v>
      </c>
      <c r="B18" s="5" t="s">
        <v>356</v>
      </c>
      <c r="C18" s="5" t="s">
        <v>357</v>
      </c>
      <c r="D18" s="5" t="s">
        <v>218</v>
      </c>
      <c r="E18" s="5" t="s">
        <v>348</v>
      </c>
      <c r="F18" s="5" t="s">
        <v>358</v>
      </c>
      <c r="G18" s="5" t="s">
        <v>359</v>
      </c>
    </row>
    <row r="19" spans="1:7" ht="30">
      <c r="A19" s="4" t="s">
        <v>360</v>
      </c>
      <c r="B19" s="5" t="s">
        <v>361</v>
      </c>
      <c r="C19" s="5" t="s">
        <v>362</v>
      </c>
      <c r="D19" s="5" t="s">
        <v>218</v>
      </c>
      <c r="E19" s="5" t="s">
        <v>348</v>
      </c>
      <c r="F19" s="5" t="s">
        <v>363</v>
      </c>
      <c r="G19" s="5" t="s">
        <v>364</v>
      </c>
    </row>
    <row r="20" spans="1:7" ht="30">
      <c r="A20" s="4" t="s">
        <v>365</v>
      </c>
      <c r="B20" s="5" t="s">
        <v>366</v>
      </c>
      <c r="C20" s="5" t="s">
        <v>300</v>
      </c>
      <c r="D20" s="5" t="s">
        <v>278</v>
      </c>
      <c r="E20" s="5" t="s">
        <v>301</v>
      </c>
      <c r="F20" s="5" t="s">
        <v>367</v>
      </c>
      <c r="G20" s="5" t="s">
        <v>368</v>
      </c>
    </row>
    <row r="21" spans="1:7" ht="29.25">
      <c r="A21" s="4" t="s">
        <v>369</v>
      </c>
      <c r="B21" s="5" t="s">
        <v>370</v>
      </c>
      <c r="C21" s="5" t="s">
        <v>300</v>
      </c>
      <c r="D21" s="5" t="s">
        <v>278</v>
      </c>
      <c r="E21" s="5" t="s">
        <v>348</v>
      </c>
      <c r="F21" s="5" t="s">
        <v>371</v>
      </c>
      <c r="G21" s="5" t="s">
        <v>372</v>
      </c>
    </row>
    <row r="22" spans="1:7" ht="29.25">
      <c r="A22" s="4" t="s">
        <v>373</v>
      </c>
      <c r="B22" s="5" t="s">
        <v>374</v>
      </c>
      <c r="C22" s="5" t="s">
        <v>320</v>
      </c>
      <c r="D22" s="5" t="s">
        <v>278</v>
      </c>
      <c r="E22" s="5" t="s">
        <v>348</v>
      </c>
      <c r="F22" s="5" t="s">
        <v>375</v>
      </c>
      <c r="G22" s="5" t="s">
        <v>376</v>
      </c>
    </row>
    <row r="23" spans="1:7" ht="15">
      <c r="A23" s="4" t="s">
        <v>377</v>
      </c>
      <c r="B23" s="5" t="s">
        <v>378</v>
      </c>
      <c r="C23" s="5" t="s">
        <v>315</v>
      </c>
      <c r="D23" s="5" t="s">
        <v>278</v>
      </c>
      <c r="E23" s="5" t="s">
        <v>301</v>
      </c>
      <c r="F23" s="5" t="s">
        <v>379</v>
      </c>
      <c r="G23" s="5" t="s">
        <v>376</v>
      </c>
    </row>
    <row r="24" spans="1:7" ht="30">
      <c r="A24" s="4" t="s">
        <v>380</v>
      </c>
      <c r="B24" s="5" t="s">
        <v>381</v>
      </c>
      <c r="C24" s="5" t="s">
        <v>315</v>
      </c>
      <c r="D24" s="5" t="s">
        <v>278</v>
      </c>
      <c r="E24" s="5" t="s">
        <v>348</v>
      </c>
      <c r="F24" s="5" t="s">
        <v>382</v>
      </c>
      <c r="G24" s="5" t="s">
        <v>383</v>
      </c>
    </row>
    <row r="25" spans="1:7" ht="30">
      <c r="A25" s="4" t="s">
        <v>384</v>
      </c>
      <c r="B25" s="5" t="s">
        <v>385</v>
      </c>
      <c r="C25" s="5" t="s">
        <v>315</v>
      </c>
      <c r="D25" s="5" t="s">
        <v>278</v>
      </c>
      <c r="E25" s="5" t="s">
        <v>348</v>
      </c>
      <c r="F25" s="5" t="s">
        <v>386</v>
      </c>
      <c r="G25" s="5" t="s">
        <v>387</v>
      </c>
    </row>
    <row r="26" spans="1:7" ht="30">
      <c r="A26" s="4" t="s">
        <v>388</v>
      </c>
      <c r="B26" s="5" t="s">
        <v>389</v>
      </c>
      <c r="C26" s="5" t="s">
        <v>315</v>
      </c>
      <c r="D26" s="5" t="s">
        <v>278</v>
      </c>
      <c r="E26" s="5" t="s">
        <v>348</v>
      </c>
      <c r="F26" s="5" t="s">
        <v>390</v>
      </c>
      <c r="G26" s="5" t="s">
        <v>387</v>
      </c>
    </row>
    <row r="27" spans="1:7" ht="30">
      <c r="A27" s="4" t="s">
        <v>391</v>
      </c>
      <c r="B27" s="5" t="s">
        <v>392</v>
      </c>
      <c r="C27" s="5" t="s">
        <v>315</v>
      </c>
      <c r="D27" s="5" t="s">
        <v>278</v>
      </c>
      <c r="E27" s="5" t="s">
        <v>348</v>
      </c>
      <c r="F27" s="5" t="s">
        <v>393</v>
      </c>
      <c r="G27" s="5" t="s">
        <v>394</v>
      </c>
    </row>
    <row r="28" spans="1:7" ht="30">
      <c r="A28" s="4" t="s">
        <v>395</v>
      </c>
      <c r="B28" s="5" t="s">
        <v>396</v>
      </c>
      <c r="C28" s="5" t="s">
        <v>315</v>
      </c>
      <c r="D28" s="5" t="s">
        <v>278</v>
      </c>
      <c r="E28" s="5" t="s">
        <v>348</v>
      </c>
      <c r="F28" s="5" t="s">
        <v>397</v>
      </c>
      <c r="G28" s="5" t="s">
        <v>398</v>
      </c>
    </row>
    <row r="29" spans="1:7" ht="29.25">
      <c r="A29" s="4" t="s">
        <v>399</v>
      </c>
      <c r="B29" s="5" t="s">
        <v>400</v>
      </c>
      <c r="C29" s="5" t="s">
        <v>306</v>
      </c>
      <c r="D29" s="5" t="s">
        <v>278</v>
      </c>
      <c r="E29" s="5" t="s">
        <v>348</v>
      </c>
      <c r="F29" s="5" t="s">
        <v>401</v>
      </c>
      <c r="G29" s="5" t="s">
        <v>402</v>
      </c>
    </row>
    <row r="30" spans="1:7" ht="30">
      <c r="A30" s="4" t="s">
        <v>403</v>
      </c>
      <c r="B30" s="5" t="s">
        <v>404</v>
      </c>
      <c r="C30" s="5" t="s">
        <v>306</v>
      </c>
      <c r="D30" s="5" t="s">
        <v>278</v>
      </c>
      <c r="E30" s="5" t="s">
        <v>348</v>
      </c>
      <c r="F30" s="5" t="s">
        <v>405</v>
      </c>
      <c r="G30" s="5" t="s">
        <v>406</v>
      </c>
    </row>
    <row r="31" spans="1:7" ht="30">
      <c r="A31" s="4" t="s">
        <v>407</v>
      </c>
      <c r="B31" s="5" t="s">
        <v>408</v>
      </c>
      <c r="C31" s="5" t="s">
        <v>306</v>
      </c>
      <c r="D31" s="5" t="s">
        <v>282</v>
      </c>
      <c r="E31" s="5" t="s">
        <v>301</v>
      </c>
      <c r="F31" s="5" t="s">
        <v>409</v>
      </c>
      <c r="G31" s="5" t="s">
        <v>410</v>
      </c>
    </row>
    <row r="32" spans="1:7" ht="30">
      <c r="A32" s="4" t="s">
        <v>411</v>
      </c>
      <c r="B32" s="5" t="s">
        <v>412</v>
      </c>
      <c r="C32" s="5" t="s">
        <v>306</v>
      </c>
      <c r="D32" s="5" t="s">
        <v>278</v>
      </c>
      <c r="E32" s="5" t="s">
        <v>348</v>
      </c>
      <c r="F32" s="5" t="s">
        <v>413</v>
      </c>
      <c r="G32" s="5" t="s">
        <v>398</v>
      </c>
    </row>
    <row r="33" spans="1:7" ht="15">
      <c r="A33" s="4" t="s">
        <v>414</v>
      </c>
      <c r="B33" s="5" t="s">
        <v>415</v>
      </c>
      <c r="C33" s="5" t="s">
        <v>306</v>
      </c>
      <c r="D33" s="5" t="s">
        <v>278</v>
      </c>
      <c r="E33" s="5" t="s">
        <v>348</v>
      </c>
      <c r="F33" s="5" t="s">
        <v>416</v>
      </c>
      <c r="G33" s="5" t="s">
        <v>398</v>
      </c>
    </row>
    <row r="34" spans="1:7" ht="30">
      <c r="A34" s="4" t="s">
        <v>417</v>
      </c>
      <c r="B34" s="5" t="s">
        <v>418</v>
      </c>
      <c r="C34" s="5" t="s">
        <v>306</v>
      </c>
      <c r="D34" s="5" t="s">
        <v>278</v>
      </c>
      <c r="E34" s="5" t="s">
        <v>348</v>
      </c>
      <c r="F34" s="5" t="s">
        <v>419</v>
      </c>
      <c r="G34" s="5" t="s">
        <v>398</v>
      </c>
    </row>
    <row r="35" spans="1:7" ht="30">
      <c r="A35" s="4" t="s">
        <v>420</v>
      </c>
      <c r="B35" s="5" t="s">
        <v>421</v>
      </c>
      <c r="C35" s="5" t="s">
        <v>306</v>
      </c>
      <c r="D35" s="5" t="s">
        <v>278</v>
      </c>
      <c r="E35" s="5" t="s">
        <v>348</v>
      </c>
      <c r="F35" s="5" t="s">
        <v>422</v>
      </c>
      <c r="G35" s="5" t="s">
        <v>423</v>
      </c>
    </row>
    <row r="36" spans="1:7" ht="30">
      <c r="A36" s="4" t="s">
        <v>424</v>
      </c>
      <c r="B36" s="5" t="s">
        <v>425</v>
      </c>
      <c r="C36" s="5" t="s">
        <v>306</v>
      </c>
      <c r="D36" s="5" t="s">
        <v>278</v>
      </c>
      <c r="E36" s="5" t="s">
        <v>348</v>
      </c>
      <c r="F36" s="5" t="s">
        <v>426</v>
      </c>
      <c r="G36" s="5" t="s">
        <v>427</v>
      </c>
    </row>
    <row r="37" spans="1:7" ht="30">
      <c r="A37" s="4" t="s">
        <v>428</v>
      </c>
      <c r="B37" s="5" t="s">
        <v>429</v>
      </c>
      <c r="C37" s="5" t="s">
        <v>306</v>
      </c>
      <c r="D37" s="5" t="s">
        <v>278</v>
      </c>
      <c r="E37" s="5" t="s">
        <v>348</v>
      </c>
      <c r="F37" s="5" t="s">
        <v>430</v>
      </c>
      <c r="G37" s="5" t="s">
        <v>431</v>
      </c>
    </row>
    <row r="38" spans="1:7" ht="15">
      <c r="A38" s="4" t="s">
        <v>432</v>
      </c>
      <c r="B38" s="5" t="s">
        <v>433</v>
      </c>
      <c r="C38" s="5" t="s">
        <v>306</v>
      </c>
      <c r="D38" s="5" t="s">
        <v>278</v>
      </c>
      <c r="E38" s="5" t="s">
        <v>348</v>
      </c>
      <c r="F38" s="5" t="s">
        <v>434</v>
      </c>
      <c r="G38" s="5" t="s">
        <v>435</v>
      </c>
    </row>
    <row r="39" spans="1:7" ht="30">
      <c r="A39" s="4" t="s">
        <v>436</v>
      </c>
      <c r="B39" s="5" t="s">
        <v>437</v>
      </c>
      <c r="C39" s="5" t="s">
        <v>306</v>
      </c>
      <c r="D39" s="5" t="s">
        <v>278</v>
      </c>
      <c r="E39" s="5" t="s">
        <v>348</v>
      </c>
      <c r="F39" s="5" t="s">
        <v>438</v>
      </c>
      <c r="G39" s="5" t="s">
        <v>439</v>
      </c>
    </row>
    <row r="40" spans="1:7" ht="30">
      <c r="A40" s="4" t="s">
        <v>440</v>
      </c>
      <c r="B40" s="5" t="s">
        <v>441</v>
      </c>
      <c r="C40" s="5" t="s">
        <v>306</v>
      </c>
      <c r="D40" s="5" t="s">
        <v>278</v>
      </c>
      <c r="E40" s="5" t="s">
        <v>348</v>
      </c>
      <c r="F40" s="5" t="s">
        <v>442</v>
      </c>
      <c r="G40" s="5" t="s">
        <v>431</v>
      </c>
    </row>
    <row r="41" spans="1:7" ht="29.25">
      <c r="A41" s="4" t="s">
        <v>443</v>
      </c>
      <c r="B41" s="5" t="s">
        <v>444</v>
      </c>
      <c r="C41" s="5" t="s">
        <v>306</v>
      </c>
      <c r="D41" s="5" t="s">
        <v>278</v>
      </c>
      <c r="E41" s="5" t="s">
        <v>348</v>
      </c>
      <c r="F41" s="5" t="s">
        <v>445</v>
      </c>
      <c r="G41" s="5" t="s">
        <v>446</v>
      </c>
    </row>
    <row r="42" spans="1:7" ht="29.25">
      <c r="A42" s="4" t="s">
        <v>447</v>
      </c>
      <c r="B42" s="5" t="s">
        <v>448</v>
      </c>
      <c r="C42" s="5" t="s">
        <v>306</v>
      </c>
      <c r="D42" s="5" t="s">
        <v>278</v>
      </c>
      <c r="E42" s="5" t="s">
        <v>449</v>
      </c>
      <c r="F42" s="5" t="s">
        <v>450</v>
      </c>
      <c r="G42" s="5" t="s">
        <v>451</v>
      </c>
    </row>
    <row r="43" spans="1:7" ht="30">
      <c r="A43" s="4" t="s">
        <v>452</v>
      </c>
      <c r="B43" s="5" t="s">
        <v>453</v>
      </c>
      <c r="C43" s="5" t="s">
        <v>306</v>
      </c>
      <c r="D43" s="5" t="s">
        <v>218</v>
      </c>
      <c r="E43" s="5" t="s">
        <v>348</v>
      </c>
      <c r="F43" s="5" t="s">
        <v>454</v>
      </c>
      <c r="G43" s="5" t="s">
        <v>455</v>
      </c>
    </row>
    <row r="44" spans="1:7" ht="45">
      <c r="A44" s="4" t="s">
        <v>456</v>
      </c>
      <c r="B44" s="5" t="s">
        <v>457</v>
      </c>
      <c r="C44" s="5" t="s">
        <v>315</v>
      </c>
      <c r="D44" s="5" t="s">
        <v>282</v>
      </c>
      <c r="E44" s="5" t="s">
        <v>301</v>
      </c>
      <c r="F44" s="5" t="s">
        <v>458</v>
      </c>
      <c r="G44" s="5" t="s">
        <v>459</v>
      </c>
    </row>
    <row r="45" spans="1:7" ht="30">
      <c r="A45" s="4" t="s">
        <v>460</v>
      </c>
      <c r="B45" s="5" t="s">
        <v>461</v>
      </c>
      <c r="C45" s="5" t="s">
        <v>315</v>
      </c>
      <c r="D45" s="5" t="s">
        <v>282</v>
      </c>
      <c r="E45" s="5" t="s">
        <v>301</v>
      </c>
      <c r="F45" s="5" t="s">
        <v>462</v>
      </c>
      <c r="G45" s="5" t="s">
        <v>459</v>
      </c>
    </row>
    <row r="46" spans="1:7" ht="30">
      <c r="A46" s="4" t="s">
        <v>463</v>
      </c>
      <c r="B46" s="5" t="s">
        <v>464</v>
      </c>
      <c r="C46" s="5" t="s">
        <v>315</v>
      </c>
      <c r="D46" s="5" t="s">
        <v>282</v>
      </c>
      <c r="E46" s="5" t="s">
        <v>301</v>
      </c>
      <c r="F46" s="5" t="s">
        <v>462</v>
      </c>
      <c r="G46" s="5" t="s">
        <v>459</v>
      </c>
    </row>
    <row r="47" spans="1:7" ht="29.25">
      <c r="A47" s="4" t="s">
        <v>465</v>
      </c>
      <c r="B47" s="5" t="s">
        <v>466</v>
      </c>
      <c r="C47" s="5" t="s">
        <v>306</v>
      </c>
      <c r="D47" s="5" t="s">
        <v>282</v>
      </c>
      <c r="E47" s="5" t="s">
        <v>301</v>
      </c>
      <c r="F47" s="5" t="s">
        <v>467</v>
      </c>
      <c r="G47" s="5" t="s">
        <v>468</v>
      </c>
    </row>
    <row r="48" spans="1:7" ht="30">
      <c r="A48" s="4" t="s">
        <v>469</v>
      </c>
      <c r="B48" s="5" t="s">
        <v>470</v>
      </c>
      <c r="C48" s="5" t="s">
        <v>471</v>
      </c>
      <c r="D48" s="5" t="s">
        <v>282</v>
      </c>
      <c r="E48" s="5" t="s">
        <v>301</v>
      </c>
      <c r="F48" s="5" t="s">
        <v>472</v>
      </c>
      <c r="G48" s="5" t="s">
        <v>473</v>
      </c>
    </row>
    <row r="49" spans="1:7" ht="30">
      <c r="A49" s="4" t="s">
        <v>474</v>
      </c>
      <c r="B49" s="5" t="s">
        <v>475</v>
      </c>
      <c r="C49" s="5" t="s">
        <v>476</v>
      </c>
      <c r="D49" s="5" t="s">
        <v>282</v>
      </c>
      <c r="E49" s="5" t="s">
        <v>301</v>
      </c>
      <c r="F49" s="5" t="s">
        <v>477</v>
      </c>
      <c r="G49" s="5" t="s">
        <v>473</v>
      </c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</sheetData>
  <autoFilter ref="A3:G49" xr:uid="{00000000-0001-0000-0800-000000000000}"/>
  <mergeCells count="2">
    <mergeCell ref="A1:G1"/>
    <mergeCell ref="A2:G2"/>
  </mergeCells>
  <conditionalFormatting sqref="D4:D49">
    <cfRule type="expression" dxfId="8" priority="1">
      <formula>D4="Active / Current"</formula>
    </cfRule>
    <cfRule type="expression" dxfId="7" priority="2">
      <formula>D4="Reference"</formula>
    </cfRule>
    <cfRule type="expression" dxfId="6" priority="3">
      <formula>D4="Legacy"</formula>
    </cfRule>
    <cfRule type="expression" dxfId="5" priority="4">
      <formula>D4="Deprecated Candidate"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activeCell="H17" sqref="H17"/>
    </sheetView>
  </sheetViews>
  <sheetFormatPr defaultRowHeight="14.25"/>
  <cols>
    <col min="1" max="1" width="18" customWidth="1"/>
    <col min="2" max="2" width="36" customWidth="1"/>
    <col min="3" max="3" width="30" customWidth="1"/>
    <col min="4" max="4" width="34" customWidth="1"/>
  </cols>
  <sheetData>
    <row r="1" spans="1:4" ht="15">
      <c r="A1" s="12" t="s">
        <v>35</v>
      </c>
      <c r="B1" s="12"/>
      <c r="C1" s="12"/>
      <c r="D1" s="12"/>
    </row>
    <row r="2" spans="1:4" ht="30">
      <c r="A2" s="4" t="s">
        <v>478</v>
      </c>
      <c r="B2" s="13" t="s">
        <v>479</v>
      </c>
      <c r="C2" s="13"/>
      <c r="D2" s="13"/>
    </row>
    <row r="3" spans="1:4" ht="15">
      <c r="A3" s="3" t="s">
        <v>480</v>
      </c>
      <c r="B3" s="3" t="s">
        <v>481</v>
      </c>
      <c r="C3" s="3" t="s">
        <v>482</v>
      </c>
      <c r="D3" s="3" t="s">
        <v>483</v>
      </c>
    </row>
    <row r="4" spans="1:4" ht="29.25">
      <c r="A4" s="4" t="s">
        <v>272</v>
      </c>
      <c r="B4" s="5" t="s">
        <v>484</v>
      </c>
      <c r="C4" s="5" t="s">
        <v>485</v>
      </c>
      <c r="D4" s="5" t="s">
        <v>486</v>
      </c>
    </row>
    <row r="5" spans="1:4" ht="29.25">
      <c r="A5" s="4" t="s">
        <v>218</v>
      </c>
      <c r="B5" s="5" t="s">
        <v>487</v>
      </c>
      <c r="C5" s="5" t="s">
        <v>488</v>
      </c>
      <c r="D5" s="5" t="s">
        <v>489</v>
      </c>
    </row>
    <row r="6" spans="1:4" ht="43.5">
      <c r="A6" s="4" t="s">
        <v>278</v>
      </c>
      <c r="B6" s="5" t="s">
        <v>490</v>
      </c>
      <c r="C6" s="5" t="s">
        <v>491</v>
      </c>
      <c r="D6" s="5" t="s">
        <v>492</v>
      </c>
    </row>
    <row r="7" spans="1:4" ht="43.5">
      <c r="A7" s="4" t="s">
        <v>282</v>
      </c>
      <c r="B7" s="5" t="s">
        <v>493</v>
      </c>
      <c r="C7" s="5" t="s">
        <v>494</v>
      </c>
      <c r="D7" s="5" t="s">
        <v>495</v>
      </c>
    </row>
    <row r="8" spans="1:4" ht="29.25">
      <c r="A8" s="4" t="s">
        <v>496</v>
      </c>
      <c r="B8" s="5" t="s">
        <v>497</v>
      </c>
      <c r="C8" s="5" t="s">
        <v>498</v>
      </c>
      <c r="D8" s="5" t="s">
        <v>499</v>
      </c>
    </row>
    <row r="9" spans="1:4" ht="30">
      <c r="A9" s="4" t="s">
        <v>500</v>
      </c>
      <c r="B9" s="5" t="s">
        <v>501</v>
      </c>
      <c r="C9" s="5" t="s">
        <v>502</v>
      </c>
      <c r="D9" s="5" t="s">
        <v>503</v>
      </c>
    </row>
    <row r="10" spans="1:4" ht="29.25">
      <c r="A10" s="4" t="s">
        <v>504</v>
      </c>
      <c r="B10" s="5" t="s">
        <v>505</v>
      </c>
      <c r="C10" s="5" t="s">
        <v>506</v>
      </c>
      <c r="D10" s="5" t="s">
        <v>507</v>
      </c>
    </row>
    <row r="11" spans="1:4" ht="29.25">
      <c r="A11" s="4" t="s">
        <v>508</v>
      </c>
      <c r="B11" s="5" t="s">
        <v>509</v>
      </c>
      <c r="C11" s="5" t="s">
        <v>510</v>
      </c>
      <c r="D11" s="5" t="s">
        <v>511</v>
      </c>
    </row>
    <row r="12" spans="1:4">
      <c r="A12" s="5"/>
      <c r="B12" s="5"/>
      <c r="C12" s="5"/>
      <c r="D12" s="5"/>
    </row>
  </sheetData>
  <mergeCells count="2">
    <mergeCell ref="A1:D1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D1"/>
    </sheetView>
  </sheetViews>
  <sheetFormatPr defaultRowHeight="14.25"/>
  <cols>
    <col min="1" max="1" width="26.125" bestFit="1" customWidth="1"/>
    <col min="2" max="2" width="18" customWidth="1"/>
    <col min="3" max="3" width="80" bestFit="1" customWidth="1"/>
    <col min="4" max="4" width="53.5" bestFit="1" customWidth="1"/>
  </cols>
  <sheetData>
    <row r="1" spans="1:4" ht="15">
      <c r="A1" s="16" t="s">
        <v>11</v>
      </c>
      <c r="B1" s="16"/>
      <c r="C1" s="16"/>
      <c r="D1" s="16"/>
    </row>
    <row r="2" spans="1:4" ht="15">
      <c r="A2" s="1" t="s">
        <v>38</v>
      </c>
      <c r="B2" s="14" t="s">
        <v>39</v>
      </c>
      <c r="C2" s="14"/>
      <c r="D2" s="14"/>
    </row>
    <row r="3" spans="1:4" ht="15">
      <c r="A3" s="1" t="s">
        <v>40</v>
      </c>
      <c r="B3" s="14" t="s">
        <v>41</v>
      </c>
      <c r="C3" s="14"/>
      <c r="D3" s="14"/>
    </row>
    <row r="4" spans="1:4" ht="15">
      <c r="A4" s="1" t="s">
        <v>563</v>
      </c>
      <c r="B4" s="14" t="s">
        <v>568</v>
      </c>
      <c r="C4" s="14"/>
      <c r="D4" s="15"/>
    </row>
    <row r="5" spans="1:4" ht="15">
      <c r="A5" s="1" t="s">
        <v>564</v>
      </c>
      <c r="B5" s="14" t="s">
        <v>565</v>
      </c>
      <c r="C5" s="14"/>
      <c r="D5" s="15"/>
    </row>
    <row r="6" spans="1:4" ht="15" customHeight="1">
      <c r="A6" s="1" t="s">
        <v>566</v>
      </c>
      <c r="B6" s="14" t="s">
        <v>567</v>
      </c>
      <c r="C6" s="14"/>
      <c r="D6" s="15"/>
    </row>
    <row r="7" spans="1:4" ht="15">
      <c r="A7" s="1" t="s">
        <v>42</v>
      </c>
      <c r="B7" s="2" t="str">
        <f>HYPERLINK("#'torch_impl Dataset'!A1","Open")</f>
        <v>Open</v>
      </c>
      <c r="C7" t="s">
        <v>43</v>
      </c>
      <c r="D7" t="s">
        <v>44</v>
      </c>
    </row>
    <row r="8" spans="1:4" ht="15">
      <c r="A8" s="1" t="s">
        <v>45</v>
      </c>
      <c r="B8" s="2" t="str">
        <f>HYPERLINK("#'torch_impl Model_Config'!A1","Open")</f>
        <v>Open</v>
      </c>
      <c r="C8" t="s">
        <v>46</v>
      </c>
      <c r="D8" t="s">
        <v>47</v>
      </c>
    </row>
    <row r="9" spans="1:4" ht="15">
      <c r="A9" s="1" t="s">
        <v>48</v>
      </c>
      <c r="B9" s="2" t="str">
        <f>HYPERLINK("#'torch_impl Validation'!A1","Open")</f>
        <v>Open</v>
      </c>
      <c r="C9" t="s">
        <v>49</v>
      </c>
      <c r="D9" t="s">
        <v>50</v>
      </c>
    </row>
    <row r="10" spans="1:4" ht="15">
      <c r="A10" s="1" t="s">
        <v>51</v>
      </c>
      <c r="B10" s="2" t="str">
        <f>HYPERLINK("#'torch_impl Benchmarking'!A1","Open")</f>
        <v>Open</v>
      </c>
      <c r="C10" t="s">
        <v>52</v>
      </c>
      <c r="D10" t="s">
        <v>53</v>
      </c>
    </row>
    <row r="11" spans="1:4" ht="15">
      <c r="A11" s="1" t="s">
        <v>54</v>
      </c>
      <c r="B11" s="2" t="str">
        <f>HYPERLINK("#'torch_impl Deployment'!A1","Open")</f>
        <v>Open</v>
      </c>
      <c r="C11" t="s">
        <v>55</v>
      </c>
      <c r="D11" t="s">
        <v>56</v>
      </c>
    </row>
    <row r="13" spans="1:4" ht="15">
      <c r="A13" s="7" t="s">
        <v>57</v>
      </c>
      <c r="B13" s="7"/>
      <c r="C13" s="7"/>
      <c r="D13" s="7"/>
    </row>
    <row r="14" spans="1:4" ht="28.5">
      <c r="A14" s="5" t="s">
        <v>58</v>
      </c>
      <c r="B14" s="5" t="s">
        <v>59</v>
      </c>
      <c r="C14" s="5" t="s">
        <v>60</v>
      </c>
      <c r="D14" s="5" t="s">
        <v>61</v>
      </c>
    </row>
    <row r="15" spans="1:4">
      <c r="A15" s="5" t="s">
        <v>62</v>
      </c>
      <c r="B15" s="5" t="s">
        <v>63</v>
      </c>
      <c r="C15" s="5" t="s">
        <v>64</v>
      </c>
      <c r="D15" s="5" t="s">
        <v>61</v>
      </c>
    </row>
    <row r="16" spans="1:4">
      <c r="A16" s="5" t="s">
        <v>65</v>
      </c>
      <c r="B16" s="5" t="s">
        <v>66</v>
      </c>
      <c r="C16" s="5" t="s">
        <v>67</v>
      </c>
      <c r="D16" s="5" t="s">
        <v>61</v>
      </c>
    </row>
    <row r="17" spans="1:4">
      <c r="A17" s="5" t="s">
        <v>68</v>
      </c>
      <c r="B17" s="5" t="s">
        <v>69</v>
      </c>
      <c r="C17" s="5" t="s">
        <v>70</v>
      </c>
      <c r="D17" s="5" t="s">
        <v>61</v>
      </c>
    </row>
    <row r="18" spans="1:4">
      <c r="A18" s="5" t="s">
        <v>71</v>
      </c>
      <c r="B18" s="5" t="s">
        <v>72</v>
      </c>
      <c r="C18" s="5" t="s">
        <v>73</v>
      </c>
      <c r="D18" s="5" t="s">
        <v>61</v>
      </c>
    </row>
    <row r="19" spans="1:4">
      <c r="A19" s="5" t="s">
        <v>74</v>
      </c>
      <c r="B19" s="5" t="s">
        <v>75</v>
      </c>
      <c r="C19" s="5" t="s">
        <v>76</v>
      </c>
      <c r="D19" s="5" t="s">
        <v>61</v>
      </c>
    </row>
    <row r="20" spans="1:4">
      <c r="A20" s="5" t="s">
        <v>77</v>
      </c>
      <c r="B20" s="5" t="s">
        <v>78</v>
      </c>
      <c r="C20" s="5" t="s">
        <v>79</v>
      </c>
      <c r="D20" s="5" t="s">
        <v>61</v>
      </c>
    </row>
    <row r="21" spans="1:4" ht="28.5">
      <c r="A21" s="5" t="s">
        <v>80</v>
      </c>
      <c r="B21" s="5" t="s">
        <v>81</v>
      </c>
      <c r="C21" s="5" t="s">
        <v>82</v>
      </c>
      <c r="D21" s="5" t="s">
        <v>61</v>
      </c>
    </row>
  </sheetData>
  <mergeCells count="6">
    <mergeCell ref="B6:D6"/>
    <mergeCell ref="A1:D1"/>
    <mergeCell ref="B4:D4"/>
    <mergeCell ref="B2:D2"/>
    <mergeCell ref="B3:D3"/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H7" sqref="H7"/>
    </sheetView>
  </sheetViews>
  <sheetFormatPr defaultRowHeight="14.25"/>
  <cols>
    <col min="1" max="1" width="20" customWidth="1"/>
    <col min="2" max="2" width="34" customWidth="1"/>
    <col min="3" max="3" width="42" customWidth="1"/>
    <col min="4" max="4" width="16" customWidth="1"/>
    <col min="5" max="5" width="36" customWidth="1"/>
  </cols>
  <sheetData>
    <row r="1" spans="1:5" ht="15">
      <c r="A1" s="12" t="s">
        <v>83</v>
      </c>
      <c r="B1" s="12"/>
      <c r="C1" s="12"/>
      <c r="D1" s="12"/>
      <c r="E1" s="12"/>
    </row>
    <row r="2" spans="1:5" ht="30">
      <c r="A2" s="4" t="s">
        <v>84</v>
      </c>
      <c r="B2" s="13" t="s">
        <v>85</v>
      </c>
      <c r="C2" s="13"/>
      <c r="D2" s="13"/>
      <c r="E2" s="13"/>
    </row>
    <row r="3" spans="1:5">
      <c r="A3" s="5" t="s">
        <v>86</v>
      </c>
      <c r="B3" s="6" t="str">
        <f>HYPERLINK("#'torch_impl Hub'!A1","Hub")</f>
        <v>Hub</v>
      </c>
      <c r="C3" s="5" t="s">
        <v>87</v>
      </c>
      <c r="D3" s="6" t="str">
        <f>HYPERLINK("#'torch_impl Validation'!A1","Validation")</f>
        <v>Validation</v>
      </c>
      <c r="E3" s="6" t="str">
        <f>HYPERLINK("#'torch_impl Deployment'!A1","Deployment")</f>
        <v>Deployment</v>
      </c>
    </row>
    <row r="4" spans="1:5" ht="15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</row>
    <row r="5" spans="1:5" ht="57.75">
      <c r="A5" s="4" t="s">
        <v>93</v>
      </c>
      <c r="B5" s="5" t="s">
        <v>94</v>
      </c>
      <c r="C5" s="5" t="s">
        <v>95</v>
      </c>
      <c r="D5" s="5" t="s">
        <v>96</v>
      </c>
      <c r="E5" s="5" t="s">
        <v>97</v>
      </c>
    </row>
    <row r="6" spans="1:5" ht="30">
      <c r="A6" s="4" t="s">
        <v>98</v>
      </c>
      <c r="B6" s="5" t="s">
        <v>99</v>
      </c>
      <c r="C6" s="5" t="s">
        <v>100</v>
      </c>
      <c r="D6" s="5" t="s">
        <v>101</v>
      </c>
      <c r="E6" s="5" t="s">
        <v>102</v>
      </c>
    </row>
    <row r="7" spans="1:5" ht="43.5">
      <c r="A7" s="4" t="s">
        <v>63</v>
      </c>
      <c r="B7" s="5" t="s">
        <v>103</v>
      </c>
      <c r="C7" s="5" t="s">
        <v>104</v>
      </c>
      <c r="D7" s="5" t="s">
        <v>96</v>
      </c>
      <c r="E7" s="5" t="s">
        <v>105</v>
      </c>
    </row>
    <row r="8" spans="1:5" ht="30">
      <c r="A8" s="4" t="s">
        <v>106</v>
      </c>
      <c r="B8" s="5" t="s">
        <v>107</v>
      </c>
      <c r="C8" s="5" t="s">
        <v>108</v>
      </c>
      <c r="D8" s="5" t="s">
        <v>101</v>
      </c>
      <c r="E8" s="5" t="s">
        <v>109</v>
      </c>
    </row>
    <row r="9" spans="1:5" ht="30">
      <c r="A9" s="4" t="s">
        <v>110</v>
      </c>
      <c r="B9" s="5" t="s">
        <v>111</v>
      </c>
      <c r="C9" s="5" t="s">
        <v>112</v>
      </c>
      <c r="D9" s="5" t="s">
        <v>113</v>
      </c>
      <c r="E9" s="5" t="s">
        <v>114</v>
      </c>
    </row>
    <row r="10" spans="1:5" ht="30">
      <c r="A10" s="4" t="s">
        <v>115</v>
      </c>
      <c r="B10" s="5" t="s">
        <v>116</v>
      </c>
      <c r="C10" s="5" t="s">
        <v>117</v>
      </c>
      <c r="D10" s="5" t="s">
        <v>113</v>
      </c>
      <c r="E10" s="5" t="s">
        <v>118</v>
      </c>
    </row>
    <row r="11" spans="1:5" ht="30">
      <c r="A11" s="4" t="s">
        <v>119</v>
      </c>
      <c r="B11" s="5" t="s">
        <v>120</v>
      </c>
      <c r="C11" s="5" t="s">
        <v>121</v>
      </c>
      <c r="D11" s="5" t="s">
        <v>113</v>
      </c>
      <c r="E11" s="5" t="s">
        <v>122</v>
      </c>
    </row>
    <row r="12" spans="1:5" ht="57.75">
      <c r="A12" s="4" t="s">
        <v>123</v>
      </c>
      <c r="B12" s="5" t="s">
        <v>124</v>
      </c>
      <c r="C12" s="5" t="s">
        <v>125</v>
      </c>
      <c r="D12" s="5" t="s">
        <v>113</v>
      </c>
      <c r="E12" s="5" t="s">
        <v>126</v>
      </c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mergeCells count="2">
    <mergeCell ref="A1:E1"/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I12" sqref="I12"/>
    </sheetView>
  </sheetViews>
  <sheetFormatPr defaultRowHeight="14.25"/>
  <cols>
    <col min="1" max="1" width="18" customWidth="1"/>
    <col min="2" max="2" width="34" customWidth="1"/>
    <col min="3" max="3" width="42" customWidth="1"/>
    <col min="4" max="4" width="18" customWidth="1"/>
    <col min="5" max="5" width="36" customWidth="1"/>
  </cols>
  <sheetData>
    <row r="1" spans="1:5" ht="15">
      <c r="A1" s="12" t="s">
        <v>17</v>
      </c>
      <c r="B1" s="12"/>
      <c r="C1" s="12"/>
      <c r="D1" s="12"/>
      <c r="E1" s="12"/>
    </row>
    <row r="2" spans="1:5" ht="30">
      <c r="A2" s="4" t="s">
        <v>84</v>
      </c>
      <c r="B2" s="13" t="s">
        <v>127</v>
      </c>
      <c r="C2" s="13"/>
      <c r="D2" s="13"/>
      <c r="E2" s="13"/>
    </row>
    <row r="3" spans="1:5">
      <c r="A3" s="5" t="s">
        <v>86</v>
      </c>
      <c r="B3" s="6" t="str">
        <f>HYPERLINK("#'torch_impl Hub'!A1","Hub")</f>
        <v>Hub</v>
      </c>
      <c r="C3" s="5" t="s">
        <v>128</v>
      </c>
      <c r="D3" s="6" t="str">
        <f>HYPERLINK("#'torch_impl Dataset'!A1","Dataset")</f>
        <v>Dataset</v>
      </c>
      <c r="E3" s="6" t="str">
        <f>HYPERLINK("#'torch_impl Benchmarking'!A1","Benchmarking")</f>
        <v>Benchmarking</v>
      </c>
    </row>
    <row r="4" spans="1:5" ht="15">
      <c r="A4" s="3" t="s">
        <v>88</v>
      </c>
      <c r="B4" s="3" t="s">
        <v>129</v>
      </c>
      <c r="C4" s="3" t="s">
        <v>90</v>
      </c>
      <c r="D4" s="3" t="s">
        <v>91</v>
      </c>
      <c r="E4" s="3" t="s">
        <v>92</v>
      </c>
    </row>
    <row r="5" spans="1:5" ht="57.75">
      <c r="A5" s="4" t="s">
        <v>130</v>
      </c>
      <c r="B5" s="5" t="s">
        <v>131</v>
      </c>
      <c r="C5" s="5" t="s">
        <v>132</v>
      </c>
      <c r="D5" s="5" t="s">
        <v>96</v>
      </c>
      <c r="E5" s="5" t="s">
        <v>133</v>
      </c>
    </row>
    <row r="6" spans="1:5" ht="43.5">
      <c r="A6" s="4" t="s">
        <v>134</v>
      </c>
      <c r="B6" s="5" t="s">
        <v>135</v>
      </c>
      <c r="C6" s="5" t="s">
        <v>136</v>
      </c>
      <c r="D6" s="5" t="s">
        <v>96</v>
      </c>
      <c r="E6" s="5" t="s">
        <v>137</v>
      </c>
    </row>
    <row r="7" spans="1:5" ht="57.75">
      <c r="A7" s="4" t="s">
        <v>138</v>
      </c>
      <c r="B7" s="5" t="s">
        <v>139</v>
      </c>
      <c r="C7" s="5" t="s">
        <v>140</v>
      </c>
      <c r="D7" s="5" t="s">
        <v>96</v>
      </c>
      <c r="E7" s="5" t="s">
        <v>141</v>
      </c>
    </row>
    <row r="8" spans="1:5" ht="29.25">
      <c r="A8" s="4" t="s">
        <v>142</v>
      </c>
      <c r="B8" s="5" t="s">
        <v>143</v>
      </c>
      <c r="C8" s="5" t="s">
        <v>144</v>
      </c>
      <c r="D8" s="5" t="s">
        <v>96</v>
      </c>
      <c r="E8" s="5" t="s">
        <v>145</v>
      </c>
    </row>
    <row r="9" spans="1:5" ht="30">
      <c r="A9" s="4" t="s">
        <v>146</v>
      </c>
      <c r="B9" s="5" t="s">
        <v>147</v>
      </c>
      <c r="C9" s="5" t="s">
        <v>148</v>
      </c>
      <c r="D9" s="5" t="s">
        <v>149</v>
      </c>
      <c r="E9" s="5" t="s">
        <v>150</v>
      </c>
    </row>
    <row r="10" spans="1:5" ht="29.25">
      <c r="A10" s="4" t="s">
        <v>151</v>
      </c>
      <c r="B10" s="5" t="s">
        <v>152</v>
      </c>
      <c r="C10" s="5" t="s">
        <v>153</v>
      </c>
      <c r="D10" s="5" t="s">
        <v>154</v>
      </c>
      <c r="E10" s="5" t="s">
        <v>155</v>
      </c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</sheetData>
  <mergeCells count="2">
    <mergeCell ref="A1:E1"/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topLeftCell="A17" workbookViewId="0">
      <selection sqref="A1:E1"/>
    </sheetView>
  </sheetViews>
  <sheetFormatPr defaultRowHeight="14.25"/>
  <cols>
    <col min="1" max="1" width="20" customWidth="1"/>
    <col min="2" max="2" width="34" customWidth="1"/>
    <col min="3" max="3" width="42" customWidth="1"/>
    <col min="4" max="4" width="16" customWidth="1"/>
    <col min="5" max="5" width="34" customWidth="1"/>
  </cols>
  <sheetData>
    <row r="1" spans="1:5" ht="15">
      <c r="A1" s="12" t="s">
        <v>20</v>
      </c>
      <c r="B1" s="12"/>
      <c r="C1" s="12"/>
      <c r="D1" s="12"/>
      <c r="E1" s="12"/>
    </row>
    <row r="2" spans="1:5" ht="30">
      <c r="A2" s="4" t="s">
        <v>84</v>
      </c>
      <c r="B2" s="13" t="s">
        <v>156</v>
      </c>
      <c r="C2" s="13"/>
      <c r="D2" s="13"/>
      <c r="E2" s="13"/>
    </row>
    <row r="3" spans="1:5">
      <c r="A3" s="5" t="s">
        <v>86</v>
      </c>
      <c r="B3" s="6" t="str">
        <f>HYPERLINK("#'torch_impl Hub'!A1","Hub")</f>
        <v>Hub</v>
      </c>
      <c r="C3" s="5" t="s">
        <v>128</v>
      </c>
      <c r="D3" s="6" t="str">
        <f>HYPERLINK("#'torch_impl Dataset'!A1","Dataset")</f>
        <v>Dataset</v>
      </c>
      <c r="E3" s="6" t="str">
        <f>HYPERLINK("#'torch_impl Deployment'!A1","Deployment")</f>
        <v>Deployment</v>
      </c>
    </row>
    <row r="4" spans="1:5" ht="15">
      <c r="A4" s="3" t="s">
        <v>157</v>
      </c>
      <c r="B4" s="3" t="s">
        <v>158</v>
      </c>
      <c r="C4" s="3" t="s">
        <v>159</v>
      </c>
      <c r="D4" s="3" t="s">
        <v>160</v>
      </c>
      <c r="E4" s="3" t="s">
        <v>161</v>
      </c>
    </row>
    <row r="5" spans="1:5" ht="29.25">
      <c r="A5" s="4" t="s">
        <v>162</v>
      </c>
      <c r="B5" s="5" t="s">
        <v>163</v>
      </c>
      <c r="C5" s="5" t="s">
        <v>164</v>
      </c>
      <c r="D5" s="5" t="s">
        <v>165</v>
      </c>
      <c r="E5" s="5" t="s">
        <v>166</v>
      </c>
    </row>
    <row r="6" spans="1:5" ht="30">
      <c r="A6" s="4" t="s">
        <v>167</v>
      </c>
      <c r="B6" s="5" t="s">
        <v>103</v>
      </c>
      <c r="C6" s="5" t="s">
        <v>168</v>
      </c>
      <c r="D6" s="5" t="s">
        <v>165</v>
      </c>
      <c r="E6" s="5" t="s">
        <v>169</v>
      </c>
    </row>
    <row r="7" spans="1:5" ht="29.25">
      <c r="A7" s="4" t="s">
        <v>170</v>
      </c>
      <c r="B7" s="5" t="s">
        <v>171</v>
      </c>
      <c r="C7" s="5" t="s">
        <v>172</v>
      </c>
      <c r="D7" s="5" t="s">
        <v>173</v>
      </c>
      <c r="E7" s="5" t="s">
        <v>174</v>
      </c>
    </row>
    <row r="8" spans="1:5" ht="30">
      <c r="A8" s="4" t="s">
        <v>175</v>
      </c>
      <c r="B8" s="5" t="s">
        <v>176</v>
      </c>
      <c r="C8" s="5" t="s">
        <v>177</v>
      </c>
      <c r="D8" s="5" t="s">
        <v>165</v>
      </c>
      <c r="E8" s="5" t="s">
        <v>178</v>
      </c>
    </row>
    <row r="9" spans="1:5" ht="30">
      <c r="A9" s="4" t="s">
        <v>179</v>
      </c>
      <c r="B9" s="5" t="s">
        <v>180</v>
      </c>
      <c r="C9" s="5" t="s">
        <v>181</v>
      </c>
      <c r="D9" s="5" t="s">
        <v>165</v>
      </c>
      <c r="E9" s="5" t="s">
        <v>182</v>
      </c>
    </row>
    <row r="10" spans="1:5" ht="29.25">
      <c r="A10" s="4" t="s">
        <v>183</v>
      </c>
      <c r="B10" s="5" t="s">
        <v>184</v>
      </c>
      <c r="C10" s="5" t="s">
        <v>185</v>
      </c>
      <c r="D10" s="5" t="s">
        <v>165</v>
      </c>
      <c r="E10" s="5" t="s">
        <v>186</v>
      </c>
    </row>
    <row r="11" spans="1:5" ht="29.25">
      <c r="A11" s="4" t="s">
        <v>187</v>
      </c>
      <c r="B11" s="5" t="s">
        <v>188</v>
      </c>
      <c r="C11" s="5" t="s">
        <v>189</v>
      </c>
      <c r="D11" s="5" t="s">
        <v>165</v>
      </c>
      <c r="E11" s="5" t="s">
        <v>190</v>
      </c>
    </row>
    <row r="12" spans="1:5" ht="29.25">
      <c r="A12" s="4" t="s">
        <v>191</v>
      </c>
      <c r="B12" s="5" t="s">
        <v>192</v>
      </c>
      <c r="C12" s="5" t="s">
        <v>193</v>
      </c>
      <c r="D12" s="5" t="s">
        <v>165</v>
      </c>
      <c r="E12" s="5" t="s">
        <v>194</v>
      </c>
    </row>
    <row r="13" spans="1:5" ht="30">
      <c r="A13" s="4" t="s">
        <v>195</v>
      </c>
      <c r="B13" s="5" t="s">
        <v>196</v>
      </c>
      <c r="C13" s="5" t="s">
        <v>197</v>
      </c>
      <c r="D13" s="5" t="s">
        <v>165</v>
      </c>
      <c r="E13" s="5" t="s">
        <v>198</v>
      </c>
    </row>
    <row r="14" spans="1:5" ht="30">
      <c r="A14" s="4" t="s">
        <v>199</v>
      </c>
      <c r="B14" s="5" t="s">
        <v>200</v>
      </c>
      <c r="C14" s="5" t="s">
        <v>201</v>
      </c>
      <c r="D14" s="5" t="s">
        <v>165</v>
      </c>
      <c r="E14" s="5" t="s">
        <v>202</v>
      </c>
    </row>
    <row r="15" spans="1:5" ht="30">
      <c r="A15" s="4" t="s">
        <v>203</v>
      </c>
      <c r="B15" s="5" t="s">
        <v>204</v>
      </c>
      <c r="C15" s="5" t="s">
        <v>205</v>
      </c>
      <c r="D15" s="5" t="s">
        <v>206</v>
      </c>
      <c r="E15" s="5" t="s">
        <v>207</v>
      </c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 ht="15.75">
      <c r="A21" s="17" t="s">
        <v>512</v>
      </c>
      <c r="B21" s="17"/>
      <c r="C21" s="17"/>
      <c r="D21" s="17"/>
      <c r="E21" s="17"/>
    </row>
    <row r="22" spans="1:5" ht="29.25">
      <c r="A22" s="8" t="s">
        <v>513</v>
      </c>
      <c r="B22" s="5" t="s">
        <v>514</v>
      </c>
      <c r="C22" s="5" t="s">
        <v>515</v>
      </c>
      <c r="D22" s="9" t="s">
        <v>516</v>
      </c>
      <c r="E22" s="5" t="s">
        <v>517</v>
      </c>
    </row>
    <row r="23" spans="1:5" ht="30">
      <c r="A23" s="8" t="s">
        <v>518</v>
      </c>
      <c r="B23" s="5" t="s">
        <v>519</v>
      </c>
      <c r="C23" s="5" t="s">
        <v>520</v>
      </c>
      <c r="D23" s="9" t="s">
        <v>516</v>
      </c>
      <c r="E23" s="5" t="s">
        <v>521</v>
      </c>
    </row>
    <row r="24" spans="1:5" ht="29.25">
      <c r="A24" s="8" t="s">
        <v>522</v>
      </c>
      <c r="B24" s="5" t="s">
        <v>523</v>
      </c>
      <c r="C24" s="5" t="s">
        <v>524</v>
      </c>
      <c r="D24" s="9" t="s">
        <v>525</v>
      </c>
      <c r="E24" s="5" t="s">
        <v>526</v>
      </c>
    </row>
    <row r="25" spans="1:5" ht="29.25">
      <c r="A25" s="8" t="s">
        <v>527</v>
      </c>
      <c r="B25" s="5" t="s">
        <v>523</v>
      </c>
      <c r="C25" s="5" t="s">
        <v>528</v>
      </c>
      <c r="D25" s="9" t="s">
        <v>529</v>
      </c>
      <c r="E25" s="5" t="s">
        <v>530</v>
      </c>
    </row>
    <row r="26" spans="1:5" ht="29.25">
      <c r="A26" s="8" t="s">
        <v>531</v>
      </c>
      <c r="B26" s="5" t="s">
        <v>532</v>
      </c>
      <c r="C26" s="5" t="s">
        <v>533</v>
      </c>
      <c r="D26" s="10" t="s">
        <v>534</v>
      </c>
      <c r="E26" s="5" t="s">
        <v>535</v>
      </c>
    </row>
    <row r="27" spans="1:5" ht="30">
      <c r="A27" s="8" t="s">
        <v>536</v>
      </c>
      <c r="B27" s="5" t="s">
        <v>537</v>
      </c>
      <c r="C27" s="5" t="s">
        <v>538</v>
      </c>
      <c r="D27" s="10" t="s">
        <v>534</v>
      </c>
      <c r="E27" s="5" t="s">
        <v>539</v>
      </c>
    </row>
    <row r="28" spans="1:5" ht="43.5">
      <c r="A28" s="8" t="s">
        <v>540</v>
      </c>
      <c r="B28" s="5" t="s">
        <v>541</v>
      </c>
      <c r="C28" s="5" t="s">
        <v>542</v>
      </c>
      <c r="D28" s="10" t="s">
        <v>534</v>
      </c>
      <c r="E28" s="5" t="s">
        <v>543</v>
      </c>
    </row>
    <row r="29" spans="1:5" ht="30">
      <c r="A29" s="8" t="s">
        <v>544</v>
      </c>
      <c r="B29" s="5" t="s">
        <v>545</v>
      </c>
      <c r="C29" s="5" t="s">
        <v>546</v>
      </c>
      <c r="D29" s="9" t="s">
        <v>547</v>
      </c>
      <c r="E29" s="5" t="s">
        <v>548</v>
      </c>
    </row>
    <row r="30" spans="1:5" ht="30">
      <c r="A30" s="8" t="s">
        <v>549</v>
      </c>
      <c r="B30" s="5" t="s">
        <v>545</v>
      </c>
      <c r="C30" s="5" t="s">
        <v>550</v>
      </c>
      <c r="D30" s="9" t="s">
        <v>551</v>
      </c>
      <c r="E30" s="5" t="s">
        <v>552</v>
      </c>
    </row>
    <row r="31" spans="1:5" ht="43.5">
      <c r="A31" s="8" t="s">
        <v>553</v>
      </c>
      <c r="B31" s="5" t="s">
        <v>554</v>
      </c>
      <c r="C31" s="5" t="s">
        <v>555</v>
      </c>
      <c r="D31" s="10" t="s">
        <v>556</v>
      </c>
      <c r="E31" s="5" t="s">
        <v>557</v>
      </c>
    </row>
    <row r="32" spans="1:5" ht="43.5">
      <c r="A32" s="8" t="s">
        <v>558</v>
      </c>
      <c r="B32" s="5" t="s">
        <v>559</v>
      </c>
      <c r="C32" s="5" t="s">
        <v>560</v>
      </c>
      <c r="D32" s="11" t="s">
        <v>561</v>
      </c>
      <c r="E32" s="5" t="s">
        <v>562</v>
      </c>
    </row>
  </sheetData>
  <mergeCells count="3">
    <mergeCell ref="A1:E1"/>
    <mergeCell ref="B2:E2"/>
    <mergeCell ref="A21:E21"/>
  </mergeCells>
  <conditionalFormatting sqref="D5:D15">
    <cfRule type="expression" dxfId="4" priority="1">
      <formula>D5="Pass"</formula>
    </cfRule>
    <cfRule type="expression" dxfId="3" priority="2">
      <formula>LEFT(D5,4)="47/5"</formula>
    </cfRule>
    <cfRule type="expression" dxfId="2" priority="3">
      <formula>D5="Failing after prediction"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zoomScale="115" zoomScaleNormal="115" workbookViewId="0">
      <selection activeCell="E16" sqref="E16"/>
    </sheetView>
  </sheetViews>
  <sheetFormatPr defaultRowHeight="14.25"/>
  <cols>
    <col min="1" max="1" width="18" customWidth="1"/>
    <col min="2" max="2" width="24.375" bestFit="1" customWidth="1"/>
    <col min="3" max="3" width="45" customWidth="1"/>
    <col min="4" max="4" width="18" customWidth="1"/>
    <col min="5" max="5" width="58.25" customWidth="1"/>
  </cols>
  <sheetData>
    <row r="1" spans="1:5" ht="15">
      <c r="A1" s="12" t="s">
        <v>23</v>
      </c>
      <c r="B1" s="12"/>
      <c r="C1" s="12"/>
      <c r="D1" s="12"/>
      <c r="E1" s="12"/>
    </row>
    <row r="2" spans="1:5" ht="30">
      <c r="A2" s="4" t="s">
        <v>84</v>
      </c>
      <c r="B2" s="13" t="s">
        <v>208</v>
      </c>
      <c r="C2" s="13"/>
      <c r="D2" s="13"/>
      <c r="E2" s="13"/>
    </row>
    <row r="3" spans="1:5" ht="30">
      <c r="A3" s="4" t="s">
        <v>612</v>
      </c>
      <c r="B3" s="26" t="s">
        <v>613</v>
      </c>
      <c r="C3" s="26"/>
      <c r="D3" s="26"/>
      <c r="E3" s="26"/>
    </row>
    <row r="4" spans="1:5" ht="45">
      <c r="A4" s="4" t="s">
        <v>614</v>
      </c>
      <c r="B4" s="13" t="s">
        <v>615</v>
      </c>
      <c r="C4" s="13"/>
      <c r="D4" s="13"/>
      <c r="E4" s="13"/>
    </row>
    <row r="5" spans="1:5">
      <c r="A5" s="5" t="s">
        <v>86</v>
      </c>
      <c r="B5" s="6" t="str">
        <f>HYPERLINK("#'torch_impl Hub'!A1","Hub")</f>
        <v>Hub</v>
      </c>
      <c r="C5" s="5" t="s">
        <v>209</v>
      </c>
      <c r="D5" s="6" t="str">
        <f>HYPERLINK("#'torch_impl Model_Config'!A1","Model/Config")</f>
        <v>Model/Config</v>
      </c>
      <c r="E5" s="6" t="str">
        <f>HYPERLINK("#'torch_impl Validation'!A1","Validation")</f>
        <v>Validation</v>
      </c>
    </row>
    <row r="6" spans="1:5" ht="15">
      <c r="A6" s="3" t="s">
        <v>88</v>
      </c>
      <c r="B6" s="3" t="s">
        <v>129</v>
      </c>
      <c r="C6" s="3" t="s">
        <v>90</v>
      </c>
      <c r="D6" s="3" t="s">
        <v>91</v>
      </c>
      <c r="E6" s="3" t="s">
        <v>92</v>
      </c>
    </row>
    <row r="7" spans="1:5" ht="43.5">
      <c r="A7" s="4" t="s">
        <v>210</v>
      </c>
      <c r="B7" s="5" t="s">
        <v>211</v>
      </c>
      <c r="C7" s="5" t="s">
        <v>212</v>
      </c>
      <c r="D7" s="5" t="s">
        <v>213</v>
      </c>
      <c r="E7" s="5" t="s">
        <v>214</v>
      </c>
    </row>
    <row r="8" spans="1:5" ht="43.5">
      <c r="A8" s="4" t="s">
        <v>215</v>
      </c>
      <c r="B8" s="5" t="s">
        <v>216</v>
      </c>
      <c r="C8" s="5" t="s">
        <v>217</v>
      </c>
      <c r="D8" s="5" t="s">
        <v>218</v>
      </c>
      <c r="E8" s="5" t="s">
        <v>219</v>
      </c>
    </row>
    <row r="9" spans="1:5" ht="30">
      <c r="A9" s="4" t="s">
        <v>220</v>
      </c>
      <c r="B9" s="5" t="s">
        <v>221</v>
      </c>
      <c r="C9" s="5" t="s">
        <v>222</v>
      </c>
      <c r="D9" s="5" t="s">
        <v>218</v>
      </c>
      <c r="E9" s="5" t="s">
        <v>223</v>
      </c>
    </row>
    <row r="10" spans="1:5" ht="43.5">
      <c r="A10" s="4" t="s">
        <v>224</v>
      </c>
      <c r="B10" s="5" t="s">
        <v>225</v>
      </c>
      <c r="C10" s="5" t="s">
        <v>226</v>
      </c>
      <c r="D10" s="5" t="s">
        <v>227</v>
      </c>
      <c r="E10" s="5" t="s">
        <v>228</v>
      </c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</sheetData>
  <mergeCells count="4">
    <mergeCell ref="A1:E1"/>
    <mergeCell ref="B2:E2"/>
    <mergeCell ref="B3:E3"/>
    <mergeCell ref="B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abSelected="1" workbookViewId="0">
      <selection activeCell="H7" sqref="H7"/>
    </sheetView>
  </sheetViews>
  <sheetFormatPr defaultRowHeight="14.25"/>
  <cols>
    <col min="1" max="1" width="20" customWidth="1"/>
    <col min="2" max="2" width="34" customWidth="1"/>
    <col min="3" max="3" width="42" customWidth="1"/>
    <col min="4" max="4" width="16" customWidth="1"/>
    <col min="5" max="5" width="36" customWidth="1"/>
  </cols>
  <sheetData>
    <row r="1" spans="1:5" ht="15">
      <c r="A1" s="12" t="s">
        <v>229</v>
      </c>
      <c r="B1" s="12"/>
      <c r="C1" s="12"/>
      <c r="D1" s="12"/>
      <c r="E1" s="12"/>
    </row>
    <row r="2" spans="1:5" ht="30">
      <c r="A2" s="4" t="s">
        <v>84</v>
      </c>
      <c r="B2" s="13" t="s">
        <v>230</v>
      </c>
      <c r="C2" s="13"/>
      <c r="D2" s="13"/>
      <c r="E2" s="13"/>
    </row>
    <row r="3" spans="1:5" ht="30">
      <c r="A3" s="4" t="s">
        <v>616</v>
      </c>
      <c r="B3" s="13" t="s">
        <v>617</v>
      </c>
      <c r="C3" s="13"/>
      <c r="D3" s="13"/>
      <c r="E3" s="13"/>
    </row>
    <row r="4" spans="1:5" ht="30">
      <c r="A4" s="4" t="s">
        <v>618</v>
      </c>
      <c r="B4" s="13" t="s">
        <v>619</v>
      </c>
      <c r="C4" s="13"/>
      <c r="D4" s="13"/>
      <c r="E4" s="13"/>
    </row>
    <row r="5" spans="1:5">
      <c r="A5" s="5" t="s">
        <v>86</v>
      </c>
      <c r="B5" s="6" t="str">
        <f>HYPERLINK("#'torch_impl Hub'!A1","Hub")</f>
        <v>Hub</v>
      </c>
      <c r="C5" s="5" t="s">
        <v>87</v>
      </c>
      <c r="D5" s="6" t="str">
        <f>HYPERLINK("#'torch_impl Validation'!A1","Validation")</f>
        <v>Validation</v>
      </c>
      <c r="E5" s="6" t="str">
        <f>HYPERLINK("#'Directory Quick Map'!A1","Quick Map")</f>
        <v>Quick Map</v>
      </c>
    </row>
    <row r="6" spans="1:5" ht="15">
      <c r="A6" s="3" t="s">
        <v>231</v>
      </c>
      <c r="B6" s="3" t="s">
        <v>129</v>
      </c>
      <c r="C6" s="3" t="s">
        <v>90</v>
      </c>
      <c r="D6" s="3" t="s">
        <v>40</v>
      </c>
      <c r="E6" s="3" t="s">
        <v>92</v>
      </c>
    </row>
    <row r="7" spans="1:5" ht="29.25">
      <c r="A7" s="4" t="s">
        <v>232</v>
      </c>
      <c r="B7" s="5" t="s">
        <v>184</v>
      </c>
      <c r="C7" s="5" t="s">
        <v>233</v>
      </c>
      <c r="D7" s="5" t="s">
        <v>165</v>
      </c>
      <c r="E7" s="5" t="s">
        <v>234</v>
      </c>
    </row>
    <row r="8" spans="1:5" ht="29.25">
      <c r="A8" s="4" t="s">
        <v>235</v>
      </c>
      <c r="B8" s="5" t="s">
        <v>188</v>
      </c>
      <c r="C8" s="5" t="s">
        <v>236</v>
      </c>
      <c r="D8" s="5" t="s">
        <v>165</v>
      </c>
      <c r="E8" s="5" t="s">
        <v>237</v>
      </c>
    </row>
    <row r="9" spans="1:5" ht="29.25">
      <c r="A9" s="4" t="s">
        <v>238</v>
      </c>
      <c r="B9" s="5" t="s">
        <v>192</v>
      </c>
      <c r="C9" s="5" t="s">
        <v>239</v>
      </c>
      <c r="D9" s="5" t="s">
        <v>165</v>
      </c>
      <c r="E9" s="5" t="s">
        <v>240</v>
      </c>
    </row>
    <row r="10" spans="1:5" ht="43.5">
      <c r="A10" s="4" t="s">
        <v>241</v>
      </c>
      <c r="B10" s="5" t="s">
        <v>196</v>
      </c>
      <c r="C10" s="5" t="s">
        <v>242</v>
      </c>
      <c r="D10" s="5" t="s">
        <v>165</v>
      </c>
      <c r="E10" s="5" t="s">
        <v>243</v>
      </c>
    </row>
    <row r="11" spans="1:5" ht="29.25">
      <c r="A11" s="4" t="s">
        <v>244</v>
      </c>
      <c r="B11" s="5" t="s">
        <v>245</v>
      </c>
      <c r="C11" s="5" t="s">
        <v>246</v>
      </c>
      <c r="D11" s="5" t="s">
        <v>247</v>
      </c>
      <c r="E11" s="5" t="s">
        <v>248</v>
      </c>
    </row>
    <row r="12" spans="1:5" ht="43.5">
      <c r="A12" s="4" t="s">
        <v>249</v>
      </c>
      <c r="B12" s="5" t="s">
        <v>250</v>
      </c>
      <c r="C12" s="5" t="s">
        <v>251</v>
      </c>
      <c r="D12" s="5" t="s">
        <v>165</v>
      </c>
      <c r="E12" s="5" t="s">
        <v>252</v>
      </c>
    </row>
    <row r="13" spans="1:5" ht="30">
      <c r="A13" s="4" t="s">
        <v>253</v>
      </c>
      <c r="B13" s="5" t="s">
        <v>254</v>
      </c>
      <c r="C13" s="5" t="s">
        <v>255</v>
      </c>
      <c r="D13" s="5" t="s">
        <v>165</v>
      </c>
      <c r="E13" s="5" t="s">
        <v>256</v>
      </c>
    </row>
    <row r="14" spans="1:5" ht="30">
      <c r="A14" s="4" t="s">
        <v>257</v>
      </c>
      <c r="B14" s="5" t="s">
        <v>258</v>
      </c>
      <c r="C14" s="5" t="s">
        <v>259</v>
      </c>
      <c r="D14" s="5" t="s">
        <v>165</v>
      </c>
      <c r="E14" s="5" t="s">
        <v>260</v>
      </c>
    </row>
    <row r="15" spans="1:5" ht="29.25">
      <c r="A15" s="4" t="s">
        <v>78</v>
      </c>
      <c r="B15" s="5" t="s">
        <v>261</v>
      </c>
      <c r="C15" s="5" t="s">
        <v>262</v>
      </c>
      <c r="D15" s="5" t="s">
        <v>263</v>
      </c>
      <c r="E15" s="5" t="s">
        <v>264</v>
      </c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</sheetData>
  <mergeCells count="4">
    <mergeCell ref="A1:E1"/>
    <mergeCell ref="B2:E2"/>
    <mergeCell ref="B4:E4"/>
    <mergeCell ref="B3:E3"/>
  </mergeCells>
  <conditionalFormatting sqref="D7:D15">
    <cfRule type="expression" dxfId="1" priority="1">
      <formula>D7="Pass"</formula>
    </cfRule>
    <cfRule type="expression" dxfId="0" priority="2">
      <formula>D7="Open issue"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Task Guide</vt:lpstr>
      <vt:lpstr>Directory Quick Map</vt:lpstr>
      <vt:lpstr>Detailed Log</vt:lpstr>
      <vt:lpstr>Decision Rules</vt:lpstr>
      <vt:lpstr>torch_impl Hub</vt:lpstr>
      <vt:lpstr>torch_impl Dataset</vt:lpstr>
      <vt:lpstr>torch_impl Model_Config</vt:lpstr>
      <vt:lpstr>torch_impl Validation</vt:lpstr>
      <vt:lpstr>torch_impl Benchmarking</vt:lpstr>
      <vt:lpstr>torch_impl Deployment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kelvinoh0685</cp:lastModifiedBy>
  <dcterms:created xsi:type="dcterms:W3CDTF">2026-05-15T07:11:49Z</dcterms:created>
  <dcterms:modified xsi:type="dcterms:W3CDTF">2026-05-17T00:05:04Z</dcterms:modified>
</cp:coreProperties>
</file>